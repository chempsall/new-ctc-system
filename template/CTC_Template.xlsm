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KCMH001\Dev\new-ctc-system\template\"/>
    </mc:Choice>
  </mc:AlternateContent>
  <xr:revisionPtr revIDLastSave="0" documentId="13_ncr:1_{5D0C9BB0-6F9C-408F-8CF3-427FF5DF73F8}" xr6:coauthVersionLast="47" xr6:coauthVersionMax="47" xr10:uidLastSave="{00000000-0000-0000-0000-000000000000}"/>
  <bookViews>
    <workbookView xWindow="-13485" yWindow="-21600" windowWidth="26010" windowHeight="20985" xr2:uid="{00000000-000D-0000-FFFF-FFFF00000000}"/>
  </bookViews>
  <sheets>
    <sheet name="Resources" sheetId="1" r:id="rId1"/>
    <sheet name="_StaffData" sheetId="2" state="veryHidden" r:id="rId2"/>
  </sheets>
  <definedNames>
    <definedName name="CTC_Customer">Resources!$C$8</definedName>
    <definedName name="CTC_Director">Resources!$C$11</definedName>
    <definedName name="CTC_FilePath">Resources!$A$1</definedName>
    <definedName name="CTC_LastUpdatedBy">Resources!$C$13</definedName>
    <definedName name="CTC_Manager">Resources!$C$12</definedName>
    <definedName name="CTC_ProjectName">Resources!$C$9</definedName>
    <definedName name="CTC_ProjectNumber">Resources!$C$5</definedName>
    <definedName name="CTC_ProjectOrganization">Resources!$C$7</definedName>
    <definedName name="CTC_TaskName">Resources!$C$10</definedName>
    <definedName name="CTC_TaskNumber">Resources!$C$6</definedName>
    <definedName name="CTCStartDate">Resources!$E$16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R16" i="1"/>
  <c r="R15" i="1" s="1"/>
  <c r="S16" i="1"/>
  <c r="S15" i="1" s="1"/>
  <c r="T16" i="1"/>
  <c r="T15" i="1" s="1"/>
  <c r="U16" i="1"/>
  <c r="U15" i="1" s="1"/>
  <c r="V16" i="1"/>
  <c r="V15" i="1" s="1"/>
  <c r="W16" i="1"/>
  <c r="W15" i="1" s="1"/>
  <c r="X16" i="1"/>
  <c r="X15" i="1" s="1"/>
  <c r="Y16" i="1"/>
  <c r="Y15" i="1" s="1"/>
  <c r="Z16" i="1"/>
  <c r="Z15" i="1" s="1"/>
  <c r="AA16" i="1"/>
  <c r="AA15" i="1" s="1"/>
  <c r="AB16" i="1"/>
  <c r="AB15" i="1" s="1"/>
  <c r="AC16" i="1"/>
  <c r="AC15" i="1" s="1"/>
  <c r="AD16" i="1"/>
  <c r="AD15" i="1" s="1"/>
  <c r="AE16" i="1"/>
  <c r="AE15" i="1" s="1"/>
  <c r="AF16" i="1"/>
  <c r="AF15" i="1" s="1"/>
  <c r="AG16" i="1"/>
  <c r="AG15" i="1" s="1"/>
  <c r="AH16" i="1"/>
  <c r="AH15" i="1" s="1"/>
  <c r="AI16" i="1"/>
  <c r="AI15" i="1" s="1"/>
  <c r="AJ16" i="1"/>
  <c r="AJ15" i="1" s="1"/>
  <c r="AK16" i="1"/>
  <c r="AK15" i="1" s="1"/>
  <c r="AL16" i="1"/>
  <c r="AL15" i="1" s="1"/>
  <c r="AM16" i="1"/>
  <c r="AM15" i="1" s="1"/>
  <c r="AN16" i="1"/>
  <c r="AN15" i="1" s="1"/>
  <c r="P16" i="1"/>
  <c r="P15" i="1" s="1"/>
  <c r="Q16" i="1"/>
  <c r="Q15" i="1" s="1"/>
  <c r="G16" i="1"/>
  <c r="G15" i="1" s="1"/>
  <c r="H16" i="1"/>
  <c r="H15" i="1" s="1"/>
  <c r="I16" i="1"/>
  <c r="I15" i="1" s="1"/>
  <c r="J16" i="1"/>
  <c r="J15" i="1" s="1"/>
  <c r="K16" i="1"/>
  <c r="K15" i="1" s="1"/>
  <c r="L16" i="1"/>
  <c r="L15" i="1" s="1"/>
  <c r="M16" i="1"/>
  <c r="M15" i="1" s="1"/>
  <c r="N16" i="1"/>
  <c r="N15" i="1" s="1"/>
  <c r="O16" i="1"/>
  <c r="O15" i="1" s="1"/>
  <c r="F16" i="1"/>
  <c r="F15" i="1" s="1"/>
</calcChain>
</file>

<file path=xl/sharedStrings.xml><?xml version="1.0" encoding="utf-8"?>
<sst xmlns="http://schemas.openxmlformats.org/spreadsheetml/2006/main" count="551" uniqueCount="210">
  <si>
    <t>Horizon ID</t>
  </si>
  <si>
    <t>Name</t>
  </si>
  <si>
    <t>Job Title</t>
  </si>
  <si>
    <t>Job Function</t>
  </si>
  <si>
    <t>Project Number</t>
  </si>
  <si>
    <t>Task Order Number</t>
  </si>
  <si>
    <t>Project Organisation</t>
  </si>
  <si>
    <t>Project Customer</t>
  </si>
  <si>
    <t>Project Name</t>
  </si>
  <si>
    <t>Task Name</t>
  </si>
  <si>
    <t>Project Director</t>
  </si>
  <si>
    <t>Project Manager</t>
  </si>
  <si>
    <t>Last Updated By</t>
  </si>
  <si>
    <t>Hempsall, Christopher</t>
  </si>
  <si>
    <t>C:\Users\UKCMH001\Dev\new-ctc-system\template\CTC_Template.xlsm</t>
  </si>
  <si>
    <t>Abdelaal, Fatma</t>
  </si>
  <si>
    <t>P5 - Associate/Associate Director</t>
  </si>
  <si>
    <t>Built Ecology</t>
  </si>
  <si>
    <t>Adam, Ahmed</t>
  </si>
  <si>
    <t>Mechanical Engineering</t>
  </si>
  <si>
    <t>Agbongiasede, Destiny</t>
  </si>
  <si>
    <t>P1 - Graduate/Assistant Engineer/Consultant</t>
  </si>
  <si>
    <t>Aitcheson, Peter</t>
  </si>
  <si>
    <t>Electrical Engineering</t>
  </si>
  <si>
    <t>Akbar, Aliyah</t>
  </si>
  <si>
    <t>Aldous, Ciara</t>
  </si>
  <si>
    <t>Allsop, Jack</t>
  </si>
  <si>
    <t>Arif, Umer</t>
  </si>
  <si>
    <t>P2 - Engineer/Consultant</t>
  </si>
  <si>
    <t>Avila, Jesus</t>
  </si>
  <si>
    <t>P3 - Senior Engineer/Consultant</t>
  </si>
  <si>
    <t>Baker, Jonathan</t>
  </si>
  <si>
    <t>Barker, Tom</t>
  </si>
  <si>
    <t>Building Technology Systems</t>
  </si>
  <si>
    <t>Bennett, Jason</t>
  </si>
  <si>
    <t>P6 - Technical Director</t>
  </si>
  <si>
    <t>Bevilacqua, Ciro</t>
  </si>
  <si>
    <t>Biddle, Tom</t>
  </si>
  <si>
    <t>Bishop, Oliver</t>
  </si>
  <si>
    <t>Biyi, Daniel</t>
  </si>
  <si>
    <t>Blades, Nathan</t>
  </si>
  <si>
    <t>Booth, Stephen</t>
  </si>
  <si>
    <t>P7 - Director</t>
  </si>
  <si>
    <t>Botetsios, Spyros</t>
  </si>
  <si>
    <t>Bradbury, Samuel</t>
  </si>
  <si>
    <t>Bradford, Helena</t>
  </si>
  <si>
    <t>P4 - Principal Engineer/Consultant</t>
  </si>
  <si>
    <t>Civil Engineering</t>
  </si>
  <si>
    <t>Brailsford, Richard</t>
  </si>
  <si>
    <t>Brickell, Peter</t>
  </si>
  <si>
    <t>Subsector Leadership</t>
  </si>
  <si>
    <t>Bromage, Louis</t>
  </si>
  <si>
    <t>Byford, Ryan</t>
  </si>
  <si>
    <t>Callan, Claire</t>
  </si>
  <si>
    <t>Callcutt, Conor</t>
  </si>
  <si>
    <t>Cameron, Thomas</t>
  </si>
  <si>
    <t>Cattermole, Alix</t>
  </si>
  <si>
    <t>Chan, Henry</t>
  </si>
  <si>
    <t>Charitopoulos, Christos</t>
  </si>
  <si>
    <t>Chart, Maria</t>
  </si>
  <si>
    <t>Cheese, Lee</t>
  </si>
  <si>
    <t>Chehab, Dana</t>
  </si>
  <si>
    <t>Cheng, Kwok Pan</t>
  </si>
  <si>
    <t>Chitty, Zac</t>
  </si>
  <si>
    <t>Systems Engineering</t>
  </si>
  <si>
    <t>Chiu, Cecilia</t>
  </si>
  <si>
    <t>General Engineering</t>
  </si>
  <si>
    <t>Chlela, Fadi</t>
  </si>
  <si>
    <t>Cleaver, Jon</t>
  </si>
  <si>
    <t>Concannon, Ciaran</t>
  </si>
  <si>
    <t>Connolly, Darren</t>
  </si>
  <si>
    <t>Cox, Carl</t>
  </si>
  <si>
    <t>Information Modelling</t>
  </si>
  <si>
    <t>Cox, Jacob</t>
  </si>
  <si>
    <t>Coyle, Dominic</t>
  </si>
  <si>
    <t>Plumbing Engineering</t>
  </si>
  <si>
    <t>Croft, Arron</t>
  </si>
  <si>
    <t>Cruz, Sophia</t>
  </si>
  <si>
    <t>Daniel, Elias</t>
  </si>
  <si>
    <t>Dedman, Ben</t>
  </si>
  <si>
    <t>Devaprasad, Anoop</t>
  </si>
  <si>
    <t>Doran, Adam</t>
  </si>
  <si>
    <t>Dundon, James</t>
  </si>
  <si>
    <t>Ebirien-Agana, Mije</t>
  </si>
  <si>
    <t>Edwards, Meirion</t>
  </si>
  <si>
    <t>Elsley, Andy</t>
  </si>
  <si>
    <t>Erhardt, Nigel</t>
  </si>
  <si>
    <t>Facknou, Felix</t>
  </si>
  <si>
    <t>Farad, Amir</t>
  </si>
  <si>
    <t>Fatunmise, Benjamin</t>
  </si>
  <si>
    <t>Fortes, Marta</t>
  </si>
  <si>
    <t>French, Paul</t>
  </si>
  <si>
    <t>Gamage, Asanka</t>
  </si>
  <si>
    <t>Gao, Mei</t>
  </si>
  <si>
    <t>Gebara, Faouzi</t>
  </si>
  <si>
    <t>Gervasi, Michael</t>
  </si>
  <si>
    <t>L3 - Director</t>
  </si>
  <si>
    <t>Ghanbariazarneir, Sharareh</t>
  </si>
  <si>
    <t>Golding, India</t>
  </si>
  <si>
    <t>Goodman, Andrew</t>
  </si>
  <si>
    <t>Utility Engineering</t>
  </si>
  <si>
    <t>Gopu, Aruna</t>
  </si>
  <si>
    <t>Graimes, Adam</t>
  </si>
  <si>
    <t>Green, Leon</t>
  </si>
  <si>
    <t>Hamilton, Kori</t>
  </si>
  <si>
    <t>Haq, Haris Ul</t>
  </si>
  <si>
    <t>Hart, Marlize</t>
  </si>
  <si>
    <t>Project Controls</t>
  </si>
  <si>
    <t>Hassan, Ahmed</t>
  </si>
  <si>
    <t>P0 - Undergraduate Engineer/Consultant</t>
  </si>
  <si>
    <t>Henderson, Colin</t>
  </si>
  <si>
    <t>Heppleston, James</t>
  </si>
  <si>
    <t>Ho, Esther</t>
  </si>
  <si>
    <t>Hobey, Tiegan</t>
  </si>
  <si>
    <t>Hunt, Ben</t>
  </si>
  <si>
    <t>Ince, Mark</t>
  </si>
  <si>
    <t>Joshi, Sarang</t>
  </si>
  <si>
    <t>Kantounas, Callum</t>
  </si>
  <si>
    <t>Kelly, George</t>
  </si>
  <si>
    <t>Kerr, George</t>
  </si>
  <si>
    <t>Khan, Savera</t>
  </si>
  <si>
    <t>Koshy, Jithin</t>
  </si>
  <si>
    <t>Krishnan, Anand</t>
  </si>
  <si>
    <t>Kyte, Edwin</t>
  </si>
  <si>
    <t>Langer, Paul</t>
  </si>
  <si>
    <t>Facilities Management</t>
  </si>
  <si>
    <t>Lau, Erica</t>
  </si>
  <si>
    <t>Lawson, Kiara</t>
  </si>
  <si>
    <t>Leung, Michael</t>
  </si>
  <si>
    <t>Lewis, Alan</t>
  </si>
  <si>
    <t>Lintzer, Auba</t>
  </si>
  <si>
    <t>Lomas, Nico</t>
  </si>
  <si>
    <t>Lowes, Christian</t>
  </si>
  <si>
    <t>Macek, Krzysztof</t>
  </si>
  <si>
    <t>Maimela, Mofenyi</t>
  </si>
  <si>
    <t>Mansha, Zane</t>
  </si>
  <si>
    <t>Martini, Michela</t>
  </si>
  <si>
    <t>Mason, Glenn</t>
  </si>
  <si>
    <t>Mason, Silke</t>
  </si>
  <si>
    <t>Mason, Thomas</t>
  </si>
  <si>
    <t>McDougall, Stuart</t>
  </si>
  <si>
    <t>McLoughlin, Kevin</t>
  </si>
  <si>
    <t>Melendez, Mercy</t>
  </si>
  <si>
    <t>Molia Blazquez, Felix</t>
  </si>
  <si>
    <t>Monero, Marvin</t>
  </si>
  <si>
    <t>Moore, Christopher</t>
  </si>
  <si>
    <t>Mora Sanchez, Anna</t>
  </si>
  <si>
    <t>Morse, Sasha</t>
  </si>
  <si>
    <t>Mtunzi, Vusa</t>
  </si>
  <si>
    <t>Mukuvare, Arnold</t>
  </si>
  <si>
    <t>Munro, Ian</t>
  </si>
  <si>
    <t>Musialska-Kusaj, Anida</t>
  </si>
  <si>
    <t>Nagpal, Vishaal</t>
  </si>
  <si>
    <t>Oduro, Enoch</t>
  </si>
  <si>
    <t>T2 - Intermediate Technician</t>
  </si>
  <si>
    <t>Orlu, Erkan</t>
  </si>
  <si>
    <t>Osei-Akoto, Kieron</t>
  </si>
  <si>
    <t>Pannu, Harpreet</t>
  </si>
  <si>
    <t>Pappalardo, Samuel</t>
  </si>
  <si>
    <t>Patel, Piyush</t>
  </si>
  <si>
    <t>Peynado, Kayne</t>
  </si>
  <si>
    <t>Pinnells, Steph</t>
  </si>
  <si>
    <t>Pionetti, Carlotta</t>
  </si>
  <si>
    <t>Preece, David</t>
  </si>
  <si>
    <t>Price, Terry</t>
  </si>
  <si>
    <t>Pullin, Nicholas</t>
  </si>
  <si>
    <t>Rashid, Thaj</t>
  </si>
  <si>
    <t>Raveendran, Brienthan</t>
  </si>
  <si>
    <t>Ravi, Kyle</t>
  </si>
  <si>
    <t>Rebello, Sanchia</t>
  </si>
  <si>
    <t>Reynolds, Ricky</t>
  </si>
  <si>
    <t>Ros, Sophia</t>
  </si>
  <si>
    <t>Ruggeri, Francesca</t>
  </si>
  <si>
    <t>Runeckles, Paul</t>
  </si>
  <si>
    <t>Sachdeva, Ben</t>
  </si>
  <si>
    <t>Sahans, Darveer</t>
  </si>
  <si>
    <t>Salehi, Bahareh</t>
  </si>
  <si>
    <t>Santos, Bernardo</t>
  </si>
  <si>
    <t>Sellars, Ben</t>
  </si>
  <si>
    <t>Shiell, Helen</t>
  </si>
  <si>
    <t>Simper, Haydn</t>
  </si>
  <si>
    <t>Singh, Eshaan</t>
  </si>
  <si>
    <t>Skulteti-Messenger, Soren</t>
  </si>
  <si>
    <t>Slingsby, Benjamin</t>
  </si>
  <si>
    <t>Smith, Andrew</t>
  </si>
  <si>
    <t>Smith, Robert</t>
  </si>
  <si>
    <t>Smith, Samuel</t>
  </si>
  <si>
    <t>Sousa, Paulo</t>
  </si>
  <si>
    <t>Sproston, James</t>
  </si>
  <si>
    <t>Stephens, Laura</t>
  </si>
  <si>
    <t>Taylor, John</t>
  </si>
  <si>
    <t>Taylor, Timothy</t>
  </si>
  <si>
    <t>Tipling, Robin</t>
  </si>
  <si>
    <t>Tsalkitzidis, Andreas</t>
  </si>
  <si>
    <t>Underdown, Mark</t>
  </si>
  <si>
    <t>Vann, Andrew</t>
  </si>
  <si>
    <t>Varsani, Rushil</t>
  </si>
  <si>
    <t>Wade, Jonathan</t>
  </si>
  <si>
    <t>Waugh, Ryan</t>
  </si>
  <si>
    <t>Wepener, Ryan</t>
  </si>
  <si>
    <t>Westmore, Peter</t>
  </si>
  <si>
    <t>Wilkinson, Paul</t>
  </si>
  <si>
    <t>Witt, Magda</t>
  </si>
  <si>
    <t>Wong, Aurora</t>
  </si>
  <si>
    <t>Yung, Cherry</t>
  </si>
  <si>
    <t>UK0041867.9081</t>
  </si>
  <si>
    <t>UK-Tenter House stage 4</t>
  </si>
  <si>
    <t>Tenter house Stage 4 - MEP</t>
  </si>
  <si>
    <t>UK010117-UK-BSV-Services London</t>
  </si>
  <si>
    <t>METROPOLITAN PROPERTIES CITY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</si>
</sst>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b/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i/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7C1E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DCE6F1"/>
        <bgColor indexed="64"/>
      </patternFill>
    </fill>
  </fills>
  <borders count="21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medium">
        <color rgb="FF00000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14" fontId="1" fillId="0" borderId="0" xfId="0" applyNumberFormat="1" applyFont="1"/>
    <xf numFmtId="0" fontId="1" fillId="3" borderId="1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7" xfId="0" applyFont="1" applyBorder="1"/>
    <xf numFmtId="0" fontId="4" fillId="0" borderId="7" xfId="0" applyFont="1" applyBorder="1" applyAlignment="1">
      <alignment horizontal="left"/>
    </xf>
    <xf numFmtId="0" fontId="5" fillId="4" borderId="10" xfId="0" applyFont="1" applyFill="1" applyBorder="1" applyProtection="1">
      <protection locked="0"/>
    </xf>
    <xf numFmtId="0" fontId="1" fillId="0" borderId="11" xfId="0" applyFont="1" applyBorder="1"/>
    <xf numFmtId="0" fontId="2" fillId="2" borderId="12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17" fontId="2" fillId="2" borderId="13" xfId="0" applyNumberFormat="1" applyFont="1" applyFill="1" applyBorder="1" applyAlignment="1">
      <alignment horizontal="center" vertical="center"/>
    </xf>
    <xf numFmtId="0" fontId="1" fillId="0" borderId="14" xfId="0" applyFont="1" applyBorder="1"/>
    <xf numFmtId="17" fontId="2" fillId="2" borderId="16" xfId="0" applyNumberFormat="1" applyFont="1" applyFill="1" applyBorder="1" applyAlignment="1">
      <alignment horizontal="center" vertical="center"/>
    </xf>
    <xf numFmtId="0" fontId="1" fillId="4" borderId="8" xfId="0" applyFont="1" applyFill="1" applyBorder="1" applyProtection="1">
      <protection locked="0"/>
    </xf>
    <xf numFmtId="0" fontId="1" fillId="4" borderId="9" xfId="0" applyFont="1" applyFill="1" applyBorder="1" applyProtection="1">
      <protection locked="0"/>
    </xf>
    <xf numFmtId="2" fontId="1" fillId="0" borderId="11" xfId="0" applyNumberFormat="1" applyFont="1" applyBorder="1" applyAlignment="1" applyProtection="1">
      <alignment horizontal="center"/>
      <protection locked="0"/>
    </xf>
    <xf numFmtId="2" fontId="1" fillId="0" borderId="17" xfId="0" applyNumberFormat="1" applyFont="1" applyBorder="1" applyAlignment="1" applyProtection="1">
      <alignment horizontal="center"/>
      <protection locked="0"/>
    </xf>
    <xf numFmtId="2" fontId="1" fillId="0" borderId="7" xfId="0" applyNumberFormat="1" applyFont="1" applyBorder="1" applyAlignment="1" applyProtection="1">
      <alignment horizontal="center"/>
      <protection locked="0"/>
    </xf>
    <xf numFmtId="2" fontId="1" fillId="0" borderId="18" xfId="0" applyNumberFormat="1" applyFont="1" applyBorder="1" applyAlignment="1" applyProtection="1">
      <alignment horizontal="center"/>
      <protection locked="0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1" fillId="0" borderId="15" xfId="0" applyNumberFormat="1" applyFont="1" applyBorder="1" applyAlignment="1" applyProtection="1">
      <alignment horizontal="center"/>
      <protection locked="0"/>
    </xf>
    <xf numFmtId="17" fontId="3" fillId="3" borderId="13" xfId="0" applyNumberFormat="1" applyFont="1" applyFill="1" applyBorder="1" applyAlignment="1" applyProtection="1">
      <alignment horizontal="center" vertical="center"/>
      <protection locked="0"/>
    </xf>
    <xf numFmtId="0" fontId="6" fillId="0" borderId="20" xfId="0" applyFont="1" applyBorder="1" applyAlignment="1">
      <alignment horizontal="right"/>
    </xf>
    <xf numFmtId="0" fontId="6" fillId="0" borderId="20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7" fontId="2" fillId="5" borderId="13" xfId="0" applyNumberFormat="1" applyFont="1" applyFill="1" applyBorder="1" applyAlignment="1">
      <alignment horizontal="center" vertical="center"/>
    </xf>
    <xf numFmtId="2" fontId="1" fillId="6" borderId="11" xfId="0" applyNumberFormat="1" applyFont="1" applyFill="1" applyBorder="1" applyAlignment="1" applyProtection="1">
      <alignment horizontal="center"/>
      <protection locked="0"/>
    </xf>
    <xf numFmtId="2" fontId="1" fillId="6" borderId="7" xfId="0" applyNumberFormat="1" applyFont="1" applyFill="1" applyBorder="1" applyAlignment="1" applyProtection="1">
      <alignment horizontal="center"/>
      <protection locked="0"/>
    </xf>
    <xf numFmtId="2" fontId="1" fillId="6" borderId="14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A6A6"/>
      <color rgb="FFF2F2F2"/>
      <color rgb="FFFFC000"/>
      <color rgb="FF97C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44450</xdr:colOff>
      <xdr:row>1</xdr:row>
      <xdr:rowOff>47625</xdr:rowOff>
    </xdr:from>
    <xdr:ext cx="904875" cy="381000"/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7B2FBCEE-C81E-4735-99C1-B07353D64A8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0725" y="200025"/>
          <a:ext cx="904875" cy="381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56"/>
  <sheetViews>
    <sheetView showGridLines="0" tabSelected="1" zoomScale="115" zoomScaleNormal="115" workbookViewId="0">
      <selection activeCell="C5" sqref="C5"/>
    </sheetView>
  </sheetViews>
  <sheetFormatPr defaultRowHeight="12" x14ac:dyDescent="0.3"/>
  <cols>
    <col min="1" max="1" width="9.6328125" style="1" bestFit="1" customWidth="1"/>
    <col min="2" max="2" width="42.6328125" style="1" customWidth="1"/>
    <col min="3" max="3" width="40.6328125" style="1" customWidth="1"/>
    <col min="4" max="4" width="30.6328125" style="1" customWidth="1"/>
    <col min="5" max="40" width="8.6328125" style="1" customWidth="1"/>
    <col min="41" max="16384" width="8.7265625" style="1"/>
  </cols>
  <sheetData>
    <row r="1" spans="1:40" x14ac:dyDescent="0.3">
      <c r="A1" s="1" t="s">
        <v>14</v>
      </c>
      <c r="E1" s="5"/>
    </row>
    <row r="4" spans="1:40" ht="12.5" thickBot="1" x14ac:dyDescent="0.35"/>
    <row r="5" spans="1:40" ht="20" customHeight="1" x14ac:dyDescent="0.3">
      <c r="B5" s="2" t="s">
        <v>4</v>
      </c>
      <c r="C5" s="6" t="s">
        <v>205</v>
      </c>
    </row>
    <row r="6" spans="1:40" ht="20" customHeight="1" x14ac:dyDescent="0.3">
      <c r="B6" s="3" t="s">
        <v>5</v>
      </c>
      <c r="C6" s="7">
        <v>401</v>
      </c>
    </row>
    <row r="7" spans="1:40" ht="20" customHeight="1" x14ac:dyDescent="0.3">
      <c r="B7" s="3" t="s">
        <v>6</v>
      </c>
      <c r="C7" s="8" t="s">
        <v>208</v>
      </c>
    </row>
    <row r="8" spans="1:40" ht="20" customHeight="1" x14ac:dyDescent="0.3">
      <c r="B8" s="3" t="s">
        <v>7</v>
      </c>
      <c r="C8" s="8" t="s">
        <v>209</v>
      </c>
    </row>
    <row r="9" spans="1:40" ht="20" customHeight="1" x14ac:dyDescent="0.3">
      <c r="B9" s="3" t="s">
        <v>8</v>
      </c>
      <c r="C9" s="8" t="s">
        <v>206</v>
      </c>
    </row>
    <row r="10" spans="1:40" ht="20" customHeight="1" x14ac:dyDescent="0.3">
      <c r="B10" s="3" t="s">
        <v>9</v>
      </c>
      <c r="C10" s="8" t="s">
        <v>207</v>
      </c>
    </row>
    <row r="11" spans="1:40" ht="20" customHeight="1" x14ac:dyDescent="0.3">
      <c r="B11" s="3" t="s">
        <v>10</v>
      </c>
      <c r="C11" s="8" t="s">
        <v>13</v>
      </c>
    </row>
    <row r="12" spans="1:40" ht="20" customHeight="1" x14ac:dyDescent="0.3">
      <c r="B12" s="3" t="s">
        <v>11</v>
      </c>
      <c r="C12" s="8" t="s">
        <v>196</v>
      </c>
    </row>
    <row r="13" spans="1:40" ht="20" customHeight="1" thickBot="1" x14ac:dyDescent="0.35">
      <c r="B13" s="4" t="s">
        <v>12</v>
      </c>
      <c r="C13" s="9" t="s">
        <v>13</v>
      </c>
    </row>
    <row r="15" spans="1:40" ht="12.5" thickBot="1" x14ac:dyDescent="0.35">
      <c r="D15" s="28" t="str">
        <f>IF(ISNUMBER(E16),"Working Days in Financial Period: ","")</f>
        <v xml:space="preserve">Working Days in Financial Period: </v>
      </c>
      <c r="E15" s="29">
        <f>IF(ISBLANK($E$16),"",IF(OR(MONTH(E16)=1,MONTH(E16)=4,MONTH(E16)=7,MONTH(E16)=10),25,20))</f>
        <v>20</v>
      </c>
      <c r="F15" s="29">
        <f>IF(ISBLANK($E$16),"",IF(OR(MONTH(F16)=1,MONTH(F16)=4,MONTH(F16)=7,MONTH(F16)=10),25,20))</f>
        <v>20</v>
      </c>
      <c r="G15" s="29">
        <f t="shared" ref="G15:AN15" si="0">IF(ISBLANK($E$16),"",IF(OR(MONTH(G16)=1,MONTH(G16)=4,MONTH(G16)=7,MONTH(G16)=10),25,20))</f>
        <v>25</v>
      </c>
      <c r="H15" s="29">
        <f t="shared" si="0"/>
        <v>20</v>
      </c>
      <c r="I15" s="29">
        <f t="shared" si="0"/>
        <v>20</v>
      </c>
      <c r="J15" s="29">
        <f t="shared" si="0"/>
        <v>25</v>
      </c>
      <c r="K15" s="29">
        <f t="shared" si="0"/>
        <v>20</v>
      </c>
      <c r="L15" s="29">
        <f t="shared" si="0"/>
        <v>20</v>
      </c>
      <c r="M15" s="29">
        <f t="shared" si="0"/>
        <v>25</v>
      </c>
      <c r="N15" s="29">
        <f t="shared" si="0"/>
        <v>20</v>
      </c>
      <c r="O15" s="29">
        <f t="shared" si="0"/>
        <v>20</v>
      </c>
      <c r="P15" s="29">
        <f t="shared" si="0"/>
        <v>25</v>
      </c>
      <c r="Q15" s="29">
        <f t="shared" si="0"/>
        <v>20</v>
      </c>
      <c r="R15" s="29">
        <f t="shared" si="0"/>
        <v>20</v>
      </c>
      <c r="S15" s="29">
        <f t="shared" si="0"/>
        <v>25</v>
      </c>
      <c r="T15" s="29">
        <f t="shared" si="0"/>
        <v>20</v>
      </c>
      <c r="U15" s="29">
        <f t="shared" si="0"/>
        <v>20</v>
      </c>
      <c r="V15" s="29">
        <f t="shared" si="0"/>
        <v>25</v>
      </c>
      <c r="W15" s="29">
        <f t="shared" si="0"/>
        <v>20</v>
      </c>
      <c r="X15" s="29">
        <f t="shared" si="0"/>
        <v>20</v>
      </c>
      <c r="Y15" s="29">
        <f t="shared" si="0"/>
        <v>25</v>
      </c>
      <c r="Z15" s="29">
        <f t="shared" si="0"/>
        <v>20</v>
      </c>
      <c r="AA15" s="29">
        <f t="shared" si="0"/>
        <v>20</v>
      </c>
      <c r="AB15" s="29">
        <f t="shared" si="0"/>
        <v>25</v>
      </c>
      <c r="AC15" s="29">
        <f t="shared" si="0"/>
        <v>20</v>
      </c>
      <c r="AD15" s="29">
        <f t="shared" si="0"/>
        <v>20</v>
      </c>
      <c r="AE15" s="29">
        <f t="shared" si="0"/>
        <v>25</v>
      </c>
      <c r="AF15" s="29">
        <f t="shared" si="0"/>
        <v>20</v>
      </c>
      <c r="AG15" s="29">
        <f t="shared" si="0"/>
        <v>20</v>
      </c>
      <c r="AH15" s="29">
        <f t="shared" si="0"/>
        <v>25</v>
      </c>
      <c r="AI15" s="29">
        <f t="shared" si="0"/>
        <v>20</v>
      </c>
      <c r="AJ15" s="29">
        <f t="shared" si="0"/>
        <v>20</v>
      </c>
      <c r="AK15" s="29">
        <f t="shared" si="0"/>
        <v>25</v>
      </c>
      <c r="AL15" s="29">
        <f t="shared" si="0"/>
        <v>20</v>
      </c>
      <c r="AM15" s="29">
        <f t="shared" si="0"/>
        <v>20</v>
      </c>
      <c r="AN15" s="30">
        <f t="shared" si="0"/>
        <v>25</v>
      </c>
    </row>
    <row r="16" spans="1:40" ht="30" customHeight="1" thickBot="1" x14ac:dyDescent="0.35">
      <c r="A16" s="31" t="s">
        <v>0</v>
      </c>
      <c r="B16" s="14" t="s">
        <v>1</v>
      </c>
      <c r="C16" s="15" t="s">
        <v>2</v>
      </c>
      <c r="D16" s="15" t="s">
        <v>3</v>
      </c>
      <c r="E16" s="27">
        <v>46054</v>
      </c>
      <c r="F16" s="16">
        <f>IF($E16="","",DATE(YEAR($E16),MONTH($E16)+COLUMNS($F16:F16),1))</f>
        <v>46082</v>
      </c>
      <c r="G16" s="32">
        <f>IF($E16="","",DATE(YEAR($E16),MONTH($E16)+COLUMNS($F16:G16),1))</f>
        <v>46113</v>
      </c>
      <c r="H16" s="32">
        <f>IF($E16="","",DATE(YEAR($E16),MONTH($E16)+COLUMNS($F16:H16),1))</f>
        <v>46143</v>
      </c>
      <c r="I16" s="16">
        <f>IF($E16="","",DATE(YEAR($E16),MONTH($E16)+COLUMNS($F16:I16),1))</f>
        <v>46174</v>
      </c>
      <c r="J16" s="16">
        <f>IF($E16="","",DATE(YEAR($E16),MONTH($E16)+COLUMNS($F16:J16),1))</f>
        <v>46204</v>
      </c>
      <c r="K16" s="16">
        <f>IF($E16="","",DATE(YEAR($E16),MONTH($E16)+COLUMNS($F16:K16),1))</f>
        <v>46235</v>
      </c>
      <c r="L16" s="16">
        <f>IF($E16="","",DATE(YEAR($E16),MONTH($E16)+COLUMNS($F16:L16),1))</f>
        <v>46266</v>
      </c>
      <c r="M16" s="16">
        <f>IF($E16="","",DATE(YEAR($E16),MONTH($E16)+COLUMNS($F16:M16),1))</f>
        <v>46296</v>
      </c>
      <c r="N16" s="16">
        <f>IF($E16="","",DATE(YEAR($E16),MONTH($E16)+COLUMNS($F16:N16),1))</f>
        <v>46327</v>
      </c>
      <c r="O16" s="16">
        <f>IF($E16="","",DATE(YEAR($E16),MONTH($E16)+COLUMNS($F16:O16),1))</f>
        <v>46357</v>
      </c>
      <c r="P16" s="16">
        <f>IF($E16="","",DATE(YEAR($E16),MONTH($E16)+COLUMNS($F16:P16),1))</f>
        <v>46388</v>
      </c>
      <c r="Q16" s="16">
        <f>IF($E16="","",DATE(YEAR($E16),MONTH($E16)+COLUMNS($F16:Q16),1))</f>
        <v>46419</v>
      </c>
      <c r="R16" s="16">
        <f>IF($E16="","",DATE(YEAR($E16),MONTH($E16)+COLUMNS($F16:R16),1))</f>
        <v>46447</v>
      </c>
      <c r="S16" s="16">
        <f>IF($E16="","",DATE(YEAR($E16),MONTH($E16)+COLUMNS($F16:S16),1))</f>
        <v>46478</v>
      </c>
      <c r="T16" s="16">
        <f>IF($E16="","",DATE(YEAR($E16),MONTH($E16)+COLUMNS($F16:T16),1))</f>
        <v>46508</v>
      </c>
      <c r="U16" s="16">
        <f>IF($E16="","",DATE(YEAR($E16),MONTH($E16)+COLUMNS($F16:U16),1))</f>
        <v>46539</v>
      </c>
      <c r="V16" s="16">
        <f>IF($E16="","",DATE(YEAR($E16),MONTH($E16)+COLUMNS($F16:V16),1))</f>
        <v>46569</v>
      </c>
      <c r="W16" s="16">
        <f>IF($E16="","",DATE(YEAR($E16),MONTH($E16)+COLUMNS($F16:W16),1))</f>
        <v>46600</v>
      </c>
      <c r="X16" s="16">
        <f>IF($E16="","",DATE(YEAR($E16),MONTH($E16)+COLUMNS($F16:X16),1))</f>
        <v>46631</v>
      </c>
      <c r="Y16" s="16">
        <f>IF($E16="","",DATE(YEAR($E16),MONTH($E16)+COLUMNS($F16:Y16),1))</f>
        <v>46661</v>
      </c>
      <c r="Z16" s="16">
        <f>IF($E16="","",DATE(YEAR($E16),MONTH($E16)+COLUMNS($F16:Z16),1))</f>
        <v>46692</v>
      </c>
      <c r="AA16" s="16">
        <f>IF($E16="","",DATE(YEAR($E16),MONTH($E16)+COLUMNS($F16:AA16),1))</f>
        <v>46722</v>
      </c>
      <c r="AB16" s="16">
        <f>IF($E16="","",DATE(YEAR($E16),MONTH($E16)+COLUMNS($F16:AB16),1))</f>
        <v>46753</v>
      </c>
      <c r="AC16" s="16">
        <f>IF($E16="","",DATE(YEAR($E16),MONTH($E16)+COLUMNS($F16:AC16),1))</f>
        <v>46784</v>
      </c>
      <c r="AD16" s="16">
        <f>IF($E16="","",DATE(YEAR($E16),MONTH($E16)+COLUMNS($F16:AD16),1))</f>
        <v>46813</v>
      </c>
      <c r="AE16" s="16">
        <f>IF($E16="","",DATE(YEAR($E16),MONTH($E16)+COLUMNS($F16:AE16),1))</f>
        <v>46844</v>
      </c>
      <c r="AF16" s="16">
        <f>IF($E16="","",DATE(YEAR($E16),MONTH($E16)+COLUMNS($F16:AF16),1))</f>
        <v>46874</v>
      </c>
      <c r="AG16" s="16">
        <f>IF($E16="","",DATE(YEAR($E16),MONTH($E16)+COLUMNS($F16:AG16),1))</f>
        <v>46905</v>
      </c>
      <c r="AH16" s="16">
        <f>IF($E16="","",DATE(YEAR($E16),MONTH($E16)+COLUMNS($F16:AH16),1))</f>
        <v>46935</v>
      </c>
      <c r="AI16" s="16">
        <f>IF($E16="","",DATE(YEAR($E16),MONTH($E16)+COLUMNS($F16:AI16),1))</f>
        <v>46966</v>
      </c>
      <c r="AJ16" s="16">
        <f>IF($E16="","",DATE(YEAR($E16),MONTH($E16)+COLUMNS($F16:AJ16),1))</f>
        <v>46997</v>
      </c>
      <c r="AK16" s="16">
        <f>IF($E16="","",DATE(YEAR($E16),MONTH($E16)+COLUMNS($F16:AK16),1))</f>
        <v>47027</v>
      </c>
      <c r="AL16" s="16">
        <f>IF($E16="","",DATE(YEAR($E16),MONTH($E16)+COLUMNS($F16:AL16),1))</f>
        <v>47058</v>
      </c>
      <c r="AM16" s="16">
        <f>IF($E16="","",DATE(YEAR($E16),MONTH($E16)+COLUMNS($F16:AM16),1))</f>
        <v>47088</v>
      </c>
      <c r="AN16" s="18">
        <f>IF($E16="","",DATE(YEAR($E16),MONTH($E16)+COLUMNS($F16:AN16),1))</f>
        <v>47119</v>
      </c>
    </row>
    <row r="17" spans="1:40" ht="20" customHeight="1" x14ac:dyDescent="0.3">
      <c r="A17" s="1">
        <v>100097297</v>
      </c>
      <c r="B17" s="12" t="s">
        <v>13</v>
      </c>
      <c r="C17" s="13" t="s">
        <v>42</v>
      </c>
      <c r="D17" s="13" t="s">
        <v>19</v>
      </c>
      <c r="E17" s="21">
        <v>3</v>
      </c>
      <c r="F17" s="21">
        <v>4</v>
      </c>
      <c r="G17" s="33">
        <v>6</v>
      </c>
      <c r="H17" s="33">
        <v>8</v>
      </c>
      <c r="I17" s="21">
        <v>8</v>
      </c>
      <c r="J17" s="21">
        <v>8</v>
      </c>
      <c r="K17" s="21">
        <v>8</v>
      </c>
      <c r="L17" s="21">
        <v>8</v>
      </c>
      <c r="M17" s="21">
        <v>8</v>
      </c>
      <c r="N17" s="21">
        <v>8</v>
      </c>
      <c r="O17" s="21">
        <v>8</v>
      </c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2"/>
    </row>
    <row r="18" spans="1:40" ht="20" customHeight="1" x14ac:dyDescent="0.3">
      <c r="A18" s="1">
        <v>100104378</v>
      </c>
      <c r="B18" s="19" t="s">
        <v>196</v>
      </c>
      <c r="C18" s="11" t="s">
        <v>46</v>
      </c>
      <c r="D18" s="10" t="s">
        <v>19</v>
      </c>
      <c r="E18" s="23">
        <v>7</v>
      </c>
      <c r="F18" s="23">
        <v>8</v>
      </c>
      <c r="G18" s="34">
        <v>8</v>
      </c>
      <c r="H18" s="34">
        <v>8</v>
      </c>
      <c r="I18" s="23">
        <v>8</v>
      </c>
      <c r="J18" s="23">
        <v>8</v>
      </c>
      <c r="K18" s="23">
        <v>8</v>
      </c>
      <c r="L18" s="23">
        <v>8</v>
      </c>
      <c r="M18" s="23">
        <v>8</v>
      </c>
      <c r="N18" s="23">
        <v>8</v>
      </c>
      <c r="O18" s="23">
        <v>8</v>
      </c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4"/>
    </row>
    <row r="19" spans="1:40" ht="20" customHeight="1" x14ac:dyDescent="0.3">
      <c r="A19" s="1">
        <v>100110707</v>
      </c>
      <c r="B19" s="19" t="s">
        <v>182</v>
      </c>
      <c r="C19" s="10" t="s">
        <v>109</v>
      </c>
      <c r="D19" s="10" t="s">
        <v>23</v>
      </c>
      <c r="E19" s="23"/>
      <c r="F19" s="23">
        <v>3</v>
      </c>
      <c r="G19" s="34">
        <v>8</v>
      </c>
      <c r="H19" s="34">
        <v>8</v>
      </c>
      <c r="I19" s="23">
        <v>8</v>
      </c>
      <c r="J19" s="23">
        <v>8</v>
      </c>
      <c r="K19" s="23">
        <v>8</v>
      </c>
      <c r="L19" s="23">
        <v>8</v>
      </c>
      <c r="M19" s="23">
        <v>8</v>
      </c>
      <c r="N19" s="23">
        <v>8</v>
      </c>
      <c r="O19" s="23">
        <v>8</v>
      </c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4"/>
    </row>
    <row r="20" spans="1:40" ht="20" customHeight="1" x14ac:dyDescent="0.3">
      <c r="A20" s="1">
        <v>100101300</v>
      </c>
      <c r="B20" s="19" t="s">
        <v>121</v>
      </c>
      <c r="C20" s="10" t="s">
        <v>30</v>
      </c>
      <c r="D20" s="10" t="s">
        <v>23</v>
      </c>
      <c r="E20" s="23">
        <v>3</v>
      </c>
      <c r="F20" s="23">
        <v>3</v>
      </c>
      <c r="G20" s="34">
        <v>8</v>
      </c>
      <c r="H20" s="34">
        <v>8</v>
      </c>
      <c r="I20" s="23">
        <v>8</v>
      </c>
      <c r="J20" s="23">
        <v>8</v>
      </c>
      <c r="K20" s="23">
        <v>8</v>
      </c>
      <c r="L20" s="23">
        <v>8</v>
      </c>
      <c r="M20" s="23">
        <v>8</v>
      </c>
      <c r="N20" s="23">
        <v>8</v>
      </c>
      <c r="O20" s="23">
        <v>8</v>
      </c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4"/>
    </row>
    <row r="21" spans="1:40" ht="20" customHeight="1" x14ac:dyDescent="0.3">
      <c r="A21" s="1">
        <v>100106898</v>
      </c>
      <c r="B21" s="19" t="s">
        <v>126</v>
      </c>
      <c r="C21" s="10" t="s">
        <v>21</v>
      </c>
      <c r="D21" s="10" t="s">
        <v>75</v>
      </c>
      <c r="E21" s="23">
        <v>3</v>
      </c>
      <c r="F21" s="23">
        <v>3</v>
      </c>
      <c r="G21" s="34">
        <v>2</v>
      </c>
      <c r="H21" s="34">
        <v>2</v>
      </c>
      <c r="I21" s="23">
        <v>8</v>
      </c>
      <c r="J21" s="23">
        <v>8</v>
      </c>
      <c r="K21" s="23">
        <v>8</v>
      </c>
      <c r="L21" s="23">
        <v>8</v>
      </c>
      <c r="M21" s="23">
        <v>8</v>
      </c>
      <c r="N21" s="23">
        <v>8</v>
      </c>
      <c r="O21" s="23">
        <v>8</v>
      </c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4"/>
    </row>
    <row r="22" spans="1:40" ht="20" customHeight="1" x14ac:dyDescent="0.3">
      <c r="A22" s="1">
        <v>100107222</v>
      </c>
      <c r="B22" s="19" t="s">
        <v>133</v>
      </c>
      <c r="C22" s="10" t="s">
        <v>16</v>
      </c>
      <c r="D22" s="10" t="s">
        <v>72</v>
      </c>
      <c r="E22" s="23"/>
      <c r="F22" s="23">
        <v>0.5</v>
      </c>
      <c r="G22" s="34">
        <v>0.5</v>
      </c>
      <c r="H22" s="34">
        <v>0.5</v>
      </c>
      <c r="I22" s="23">
        <v>0.5</v>
      </c>
      <c r="J22" s="23">
        <v>0.5</v>
      </c>
      <c r="K22" s="23">
        <v>0.5</v>
      </c>
      <c r="L22" s="23">
        <v>0.5</v>
      </c>
      <c r="M22" s="23">
        <v>0.5</v>
      </c>
      <c r="N22" s="23">
        <v>0.5</v>
      </c>
      <c r="O22" s="23">
        <v>0.5</v>
      </c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4"/>
    </row>
    <row r="23" spans="1:40" ht="20" customHeight="1" x14ac:dyDescent="0.3">
      <c r="A23" s="1">
        <v>100109440</v>
      </c>
      <c r="B23" s="19" t="s">
        <v>184</v>
      </c>
      <c r="C23" s="10" t="s">
        <v>46</v>
      </c>
      <c r="D23" s="10" t="s">
        <v>100</v>
      </c>
      <c r="E23" s="23"/>
      <c r="F23" s="23">
        <v>1</v>
      </c>
      <c r="G23" s="34">
        <v>0.5</v>
      </c>
      <c r="H23" s="34">
        <v>0.5</v>
      </c>
      <c r="I23" s="23">
        <v>0.5</v>
      </c>
      <c r="J23" s="23">
        <v>0.5</v>
      </c>
      <c r="K23" s="23">
        <v>0.5</v>
      </c>
      <c r="L23" s="23">
        <v>0.5</v>
      </c>
      <c r="M23" s="23">
        <v>0.5</v>
      </c>
      <c r="N23" s="23">
        <v>0.5</v>
      </c>
      <c r="O23" s="23">
        <v>0.5</v>
      </c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4"/>
    </row>
    <row r="24" spans="1:40" ht="20" customHeight="1" x14ac:dyDescent="0.3">
      <c r="B24" s="19"/>
      <c r="C24" s="10"/>
      <c r="D24" s="10"/>
      <c r="E24" s="23"/>
      <c r="F24" s="23"/>
      <c r="G24" s="34"/>
      <c r="H24" s="34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4"/>
    </row>
    <row r="25" spans="1:40" ht="20" customHeight="1" x14ac:dyDescent="0.3">
      <c r="B25" s="19"/>
      <c r="C25" s="10"/>
      <c r="D25" s="10"/>
      <c r="E25" s="23"/>
      <c r="F25" s="23"/>
      <c r="G25" s="34"/>
      <c r="H25" s="34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4"/>
    </row>
    <row r="26" spans="1:40" ht="20" customHeight="1" x14ac:dyDescent="0.3">
      <c r="B26" s="19"/>
      <c r="C26" s="10"/>
      <c r="D26" s="10"/>
      <c r="E26" s="23"/>
      <c r="F26" s="23"/>
      <c r="G26" s="34"/>
      <c r="H26" s="34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4"/>
    </row>
    <row r="27" spans="1:40" ht="20" customHeight="1" x14ac:dyDescent="0.3">
      <c r="B27" s="19"/>
      <c r="C27" s="10"/>
      <c r="D27" s="10"/>
      <c r="E27" s="23"/>
      <c r="F27" s="23"/>
      <c r="G27" s="34"/>
      <c r="H27" s="34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4"/>
    </row>
    <row r="28" spans="1:40" ht="20" customHeight="1" x14ac:dyDescent="0.3">
      <c r="B28" s="19"/>
      <c r="C28" s="10"/>
      <c r="D28" s="10"/>
      <c r="E28" s="23"/>
      <c r="F28" s="23"/>
      <c r="G28" s="34"/>
      <c r="H28" s="34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4"/>
    </row>
    <row r="29" spans="1:40" ht="20" customHeight="1" x14ac:dyDescent="0.3">
      <c r="B29" s="19"/>
      <c r="C29" s="10"/>
      <c r="D29" s="10"/>
      <c r="E29" s="23"/>
      <c r="F29" s="23"/>
      <c r="G29" s="34"/>
      <c r="H29" s="34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4"/>
    </row>
    <row r="30" spans="1:40" ht="20" customHeight="1" x14ac:dyDescent="0.3">
      <c r="B30" s="19"/>
      <c r="C30" s="10"/>
      <c r="D30" s="10"/>
      <c r="E30" s="23"/>
      <c r="F30" s="23"/>
      <c r="G30" s="34"/>
      <c r="H30" s="34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4"/>
    </row>
    <row r="31" spans="1:40" ht="20" customHeight="1" x14ac:dyDescent="0.3">
      <c r="B31" s="19"/>
      <c r="C31" s="10"/>
      <c r="D31" s="10"/>
      <c r="E31" s="23"/>
      <c r="F31" s="23"/>
      <c r="G31" s="34"/>
      <c r="H31" s="34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4"/>
    </row>
    <row r="32" spans="1:40" ht="20" customHeight="1" x14ac:dyDescent="0.3">
      <c r="B32" s="19"/>
      <c r="C32" s="10"/>
      <c r="D32" s="10"/>
      <c r="E32" s="23"/>
      <c r="F32" s="23"/>
      <c r="G32" s="34"/>
      <c r="H32" s="34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4"/>
    </row>
    <row r="33" spans="2:40" ht="20" customHeight="1" x14ac:dyDescent="0.3">
      <c r="B33" s="19"/>
      <c r="C33" s="10"/>
      <c r="D33" s="10"/>
      <c r="E33" s="23"/>
      <c r="F33" s="23"/>
      <c r="G33" s="34"/>
      <c r="H33" s="34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4"/>
    </row>
    <row r="34" spans="2:40" ht="20" customHeight="1" x14ac:dyDescent="0.3">
      <c r="B34" s="19"/>
      <c r="C34" s="10"/>
      <c r="D34" s="10"/>
      <c r="E34" s="23"/>
      <c r="F34" s="23"/>
      <c r="G34" s="34"/>
      <c r="H34" s="34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4"/>
    </row>
    <row r="35" spans="2:40" ht="20" customHeight="1" x14ac:dyDescent="0.3">
      <c r="B35" s="19"/>
      <c r="C35" s="10"/>
      <c r="D35" s="10"/>
      <c r="E35" s="23"/>
      <c r="F35" s="23"/>
      <c r="G35" s="34"/>
      <c r="H35" s="34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4"/>
    </row>
    <row r="36" spans="2:40" ht="20" customHeight="1" x14ac:dyDescent="0.3">
      <c r="B36" s="19"/>
      <c r="C36" s="10"/>
      <c r="D36" s="10"/>
      <c r="E36" s="23"/>
      <c r="F36" s="23"/>
      <c r="G36" s="34"/>
      <c r="H36" s="34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4"/>
    </row>
    <row r="37" spans="2:40" ht="20" customHeight="1" x14ac:dyDescent="0.3">
      <c r="B37" s="19"/>
      <c r="C37" s="10"/>
      <c r="D37" s="10"/>
      <c r="E37" s="23"/>
      <c r="F37" s="23"/>
      <c r="G37" s="34"/>
      <c r="H37" s="34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4"/>
    </row>
    <row r="38" spans="2:40" ht="20" customHeight="1" x14ac:dyDescent="0.3">
      <c r="B38" s="19"/>
      <c r="C38" s="10"/>
      <c r="D38" s="10"/>
      <c r="E38" s="23"/>
      <c r="F38" s="23"/>
      <c r="G38" s="34"/>
      <c r="H38" s="34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4"/>
    </row>
    <row r="39" spans="2:40" ht="20" customHeight="1" x14ac:dyDescent="0.3">
      <c r="B39" s="19"/>
      <c r="C39" s="10"/>
      <c r="D39" s="10"/>
      <c r="E39" s="23"/>
      <c r="F39" s="23"/>
      <c r="G39" s="34"/>
      <c r="H39" s="34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4"/>
    </row>
    <row r="40" spans="2:40" ht="20" customHeight="1" x14ac:dyDescent="0.3">
      <c r="B40" s="19"/>
      <c r="C40" s="10"/>
      <c r="D40" s="10"/>
      <c r="E40" s="23"/>
      <c r="F40" s="23"/>
      <c r="G40" s="34"/>
      <c r="H40" s="34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4"/>
    </row>
    <row r="41" spans="2:40" ht="20" customHeight="1" x14ac:dyDescent="0.3">
      <c r="B41" s="19"/>
      <c r="C41" s="10"/>
      <c r="D41" s="10"/>
      <c r="E41" s="23"/>
      <c r="F41" s="23"/>
      <c r="G41" s="34"/>
      <c r="H41" s="34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4"/>
    </row>
    <row r="42" spans="2:40" ht="20" customHeight="1" x14ac:dyDescent="0.3">
      <c r="B42" s="19"/>
      <c r="C42" s="10"/>
      <c r="D42" s="10"/>
      <c r="E42" s="23"/>
      <c r="F42" s="23"/>
      <c r="G42" s="34"/>
      <c r="H42" s="34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4"/>
    </row>
    <row r="43" spans="2:40" ht="20" customHeight="1" x14ac:dyDescent="0.3">
      <c r="B43" s="19"/>
      <c r="C43" s="10"/>
      <c r="D43" s="10"/>
      <c r="E43" s="23"/>
      <c r="F43" s="23"/>
      <c r="G43" s="34"/>
      <c r="H43" s="34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4"/>
    </row>
    <row r="44" spans="2:40" ht="20" customHeight="1" x14ac:dyDescent="0.3">
      <c r="B44" s="19"/>
      <c r="C44" s="10"/>
      <c r="D44" s="10"/>
      <c r="E44" s="23"/>
      <c r="F44" s="23"/>
      <c r="G44" s="34"/>
      <c r="H44" s="34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4"/>
    </row>
    <row r="45" spans="2:40" ht="20" customHeight="1" x14ac:dyDescent="0.3">
      <c r="B45" s="19"/>
      <c r="C45" s="10"/>
      <c r="D45" s="10"/>
      <c r="E45" s="23"/>
      <c r="F45" s="23"/>
      <c r="G45" s="34"/>
      <c r="H45" s="34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4"/>
    </row>
    <row r="46" spans="2:40" ht="20" customHeight="1" x14ac:dyDescent="0.3">
      <c r="B46" s="19"/>
      <c r="C46" s="10"/>
      <c r="D46" s="10"/>
      <c r="E46" s="23"/>
      <c r="F46" s="23"/>
      <c r="G46" s="34"/>
      <c r="H46" s="34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4"/>
    </row>
    <row r="47" spans="2:40" ht="20" customHeight="1" x14ac:dyDescent="0.3">
      <c r="B47" s="19"/>
      <c r="C47" s="10"/>
      <c r="D47" s="10"/>
      <c r="E47" s="23"/>
      <c r="F47" s="23"/>
      <c r="G47" s="34"/>
      <c r="H47" s="34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4"/>
    </row>
    <row r="48" spans="2:40" ht="20" customHeight="1" x14ac:dyDescent="0.3">
      <c r="B48" s="19"/>
      <c r="C48" s="10"/>
      <c r="D48" s="10"/>
      <c r="E48" s="23"/>
      <c r="F48" s="23"/>
      <c r="G48" s="34"/>
      <c r="H48" s="34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4"/>
    </row>
    <row r="49" spans="2:40" ht="20" customHeight="1" x14ac:dyDescent="0.3">
      <c r="B49" s="19"/>
      <c r="C49" s="10"/>
      <c r="D49" s="10"/>
      <c r="E49" s="23"/>
      <c r="F49" s="23"/>
      <c r="G49" s="34"/>
      <c r="H49" s="34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4"/>
    </row>
    <row r="50" spans="2:40" ht="20" customHeight="1" x14ac:dyDescent="0.3">
      <c r="B50" s="19"/>
      <c r="C50" s="10"/>
      <c r="D50" s="10"/>
      <c r="E50" s="23"/>
      <c r="F50" s="23"/>
      <c r="G50" s="34"/>
      <c r="H50" s="34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4"/>
    </row>
    <row r="51" spans="2:40" ht="20" customHeight="1" x14ac:dyDescent="0.3">
      <c r="B51" s="19"/>
      <c r="C51" s="10"/>
      <c r="D51" s="10"/>
      <c r="E51" s="23"/>
      <c r="F51" s="23"/>
      <c r="G51" s="34"/>
      <c r="H51" s="34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4"/>
    </row>
    <row r="52" spans="2:40" ht="20" customHeight="1" x14ac:dyDescent="0.3">
      <c r="B52" s="19"/>
      <c r="C52" s="10"/>
      <c r="D52" s="10"/>
      <c r="E52" s="23"/>
      <c r="F52" s="23"/>
      <c r="G52" s="34"/>
      <c r="H52" s="34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4"/>
    </row>
    <row r="53" spans="2:40" ht="20" customHeight="1" x14ac:dyDescent="0.3">
      <c r="B53" s="19"/>
      <c r="C53" s="10"/>
      <c r="D53" s="10"/>
      <c r="E53" s="23"/>
      <c r="F53" s="23"/>
      <c r="G53" s="34"/>
      <c r="H53" s="34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4"/>
    </row>
    <row r="54" spans="2:40" ht="20" customHeight="1" x14ac:dyDescent="0.3">
      <c r="B54" s="19"/>
      <c r="C54" s="10"/>
      <c r="D54" s="10"/>
      <c r="E54" s="23"/>
      <c r="F54" s="23"/>
      <c r="G54" s="34"/>
      <c r="H54" s="34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4"/>
    </row>
    <row r="55" spans="2:40" ht="20" customHeight="1" x14ac:dyDescent="0.3">
      <c r="B55" s="19"/>
      <c r="C55" s="10"/>
      <c r="D55" s="10"/>
      <c r="E55" s="23"/>
      <c r="F55" s="23"/>
      <c r="G55" s="34"/>
      <c r="H55" s="34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4"/>
    </row>
    <row r="56" spans="2:40" ht="20" customHeight="1" thickBot="1" x14ac:dyDescent="0.35">
      <c r="B56" s="20"/>
      <c r="C56" s="17"/>
      <c r="D56" s="17"/>
      <c r="E56" s="25"/>
      <c r="F56" s="25"/>
      <c r="G56" s="35"/>
      <c r="H56" s="3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6"/>
    </row>
  </sheetData>
  <sheetProtection algorithmName="SHA-512" hashValue="vJ/O9XgGaSXGROwTEa7eNCvy4aOPsZo2nTCQ5GQqcjr7Ji8M/dIRXUJsVWICLaag2gqo9DbJoU94/Q6gz9QNeA==" saltValue="yUQP45DV6XLBYaGbNXnmJg==" spinCount="100000" sheet="1" objects="1" scenarios="1"/>
  <dataValidations count="1">
    <dataValidation type="date" allowBlank="1" showErrorMessage="1" errorTitle="INVALID INPUT" error="Please enter a date" sqref="E16" xr:uid="{20F218A9-7177-4B65-93E5-76721FE2C6E4}">
      <formula1>46023</formula1>
      <formula2>73051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DAE0C5F1-43A6-4E7D-AB1A-0636F24B35DC}">
          <x14:formula1>
            <xm:f>_StaffData!$B$2:$B$169</xm:f>
          </x14:formula1>
          <xm:sqref>B17:B56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24E7-9ED6-4A26-85F1-421A10BEDAEE}">
  <sheetPr codeName="Sheet2"/>
  <dimension ref="A1:D169"/>
  <sheetViews>
    <sheetView workbookViewId="0"/>
  </sheetViews>
  <sheetFormatPr defaultRowHeight="14.5" x14ac:dyDescent="0.35"/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100141916</v>
      </c>
      <c r="B2" t="s">
        <v>15</v>
      </c>
      <c r="C2" t="s">
        <v>16</v>
      </c>
      <c r="D2" t="s">
        <v>17</v>
      </c>
    </row>
    <row r="3" spans="1:4" x14ac:dyDescent="0.35">
      <c r="A3">
        <v>100100509</v>
      </c>
      <c r="B3" t="s">
        <v>18</v>
      </c>
      <c r="C3" t="s">
        <v>16</v>
      </c>
      <c r="D3" t="s">
        <v>19</v>
      </c>
    </row>
    <row r="4" spans="1:4" x14ac:dyDescent="0.35">
      <c r="A4">
        <v>100141677</v>
      </c>
      <c r="B4" t="s">
        <v>20</v>
      </c>
      <c r="C4" t="s">
        <v>21</v>
      </c>
      <c r="D4" t="s">
        <v>19</v>
      </c>
    </row>
    <row r="5" spans="1:4" x14ac:dyDescent="0.35">
      <c r="A5">
        <v>100172610</v>
      </c>
      <c r="B5" t="s">
        <v>22</v>
      </c>
      <c r="C5" t="s">
        <v>16</v>
      </c>
      <c r="D5" t="s">
        <v>23</v>
      </c>
    </row>
    <row r="6" spans="1:4" x14ac:dyDescent="0.35">
      <c r="A6">
        <v>100134126</v>
      </c>
      <c r="B6" t="s">
        <v>24</v>
      </c>
      <c r="C6" t="s">
        <v>21</v>
      </c>
      <c r="D6" t="s">
        <v>19</v>
      </c>
    </row>
    <row r="7" spans="1:4" x14ac:dyDescent="0.35">
      <c r="A7">
        <v>100106596</v>
      </c>
      <c r="B7" t="s">
        <v>25</v>
      </c>
      <c r="C7" t="s">
        <v>21</v>
      </c>
      <c r="D7" t="s">
        <v>17</v>
      </c>
    </row>
    <row r="8" spans="1:4" x14ac:dyDescent="0.35">
      <c r="A8">
        <v>100110497</v>
      </c>
      <c r="B8" t="s">
        <v>26</v>
      </c>
      <c r="C8" t="s">
        <v>16</v>
      </c>
      <c r="D8" t="s">
        <v>19</v>
      </c>
    </row>
    <row r="9" spans="1:4" x14ac:dyDescent="0.35">
      <c r="A9">
        <v>100098950</v>
      </c>
      <c r="B9" t="s">
        <v>27</v>
      </c>
      <c r="C9" t="s">
        <v>28</v>
      </c>
      <c r="D9" t="s">
        <v>19</v>
      </c>
    </row>
    <row r="10" spans="1:4" x14ac:dyDescent="0.35">
      <c r="A10">
        <v>100099067</v>
      </c>
      <c r="B10" t="s">
        <v>29</v>
      </c>
      <c r="C10" t="s">
        <v>30</v>
      </c>
      <c r="D10" t="s">
        <v>17</v>
      </c>
    </row>
    <row r="11" spans="1:4" x14ac:dyDescent="0.35">
      <c r="A11">
        <v>100103940</v>
      </c>
      <c r="B11" t="s">
        <v>31</v>
      </c>
      <c r="C11" t="s">
        <v>21</v>
      </c>
      <c r="D11" t="s">
        <v>17</v>
      </c>
    </row>
    <row r="12" spans="1:4" x14ac:dyDescent="0.35">
      <c r="A12">
        <v>100163976</v>
      </c>
      <c r="B12" t="s">
        <v>32</v>
      </c>
      <c r="C12" t="s">
        <v>30</v>
      </c>
      <c r="D12" t="s">
        <v>33</v>
      </c>
    </row>
    <row r="13" spans="1:4" x14ac:dyDescent="0.35">
      <c r="A13">
        <v>100108161</v>
      </c>
      <c r="B13" t="s">
        <v>34</v>
      </c>
      <c r="C13" t="s">
        <v>35</v>
      </c>
      <c r="D13" t="s">
        <v>23</v>
      </c>
    </row>
    <row r="14" spans="1:4" x14ac:dyDescent="0.35">
      <c r="A14">
        <v>100140813</v>
      </c>
      <c r="B14" t="s">
        <v>36</v>
      </c>
      <c r="C14" t="s">
        <v>16</v>
      </c>
      <c r="D14" t="s">
        <v>19</v>
      </c>
    </row>
    <row r="15" spans="1:4" x14ac:dyDescent="0.35">
      <c r="A15">
        <v>100139680</v>
      </c>
      <c r="B15" t="s">
        <v>37</v>
      </c>
      <c r="C15" t="s">
        <v>28</v>
      </c>
      <c r="D15" t="s">
        <v>19</v>
      </c>
    </row>
    <row r="16" spans="1:4" x14ac:dyDescent="0.35">
      <c r="A16">
        <v>100099453</v>
      </c>
      <c r="B16" t="s">
        <v>38</v>
      </c>
      <c r="C16" t="s">
        <v>16</v>
      </c>
      <c r="D16" t="s">
        <v>19</v>
      </c>
    </row>
    <row r="17" spans="1:4" x14ac:dyDescent="0.35">
      <c r="A17">
        <v>100162160</v>
      </c>
      <c r="B17" t="s">
        <v>39</v>
      </c>
      <c r="C17" t="s">
        <v>16</v>
      </c>
      <c r="D17" t="s">
        <v>23</v>
      </c>
    </row>
    <row r="18" spans="1:4" x14ac:dyDescent="0.35">
      <c r="A18">
        <v>100098397</v>
      </c>
      <c r="B18" t="s">
        <v>40</v>
      </c>
      <c r="C18" t="s">
        <v>16</v>
      </c>
      <c r="D18" t="s">
        <v>19</v>
      </c>
    </row>
    <row r="19" spans="1:4" x14ac:dyDescent="0.35">
      <c r="A19">
        <v>100103917</v>
      </c>
      <c r="B19" t="s">
        <v>41</v>
      </c>
      <c r="C19" t="s">
        <v>42</v>
      </c>
      <c r="D19" t="s">
        <v>19</v>
      </c>
    </row>
    <row r="20" spans="1:4" x14ac:dyDescent="0.35">
      <c r="A20">
        <v>10016291</v>
      </c>
      <c r="B20" t="s">
        <v>43</v>
      </c>
      <c r="C20" t="s">
        <v>28</v>
      </c>
      <c r="D20" t="s">
        <v>19</v>
      </c>
    </row>
    <row r="21" spans="1:4" x14ac:dyDescent="0.35">
      <c r="A21">
        <v>100098979</v>
      </c>
      <c r="B21" t="s">
        <v>44</v>
      </c>
      <c r="C21" t="s">
        <v>16</v>
      </c>
      <c r="D21" t="s">
        <v>19</v>
      </c>
    </row>
    <row r="22" spans="1:4" x14ac:dyDescent="0.35">
      <c r="A22">
        <v>100139176</v>
      </c>
      <c r="B22" t="s">
        <v>45</v>
      </c>
      <c r="C22" t="s">
        <v>46</v>
      </c>
      <c r="D22" t="s">
        <v>47</v>
      </c>
    </row>
    <row r="23" spans="1:4" x14ac:dyDescent="0.35">
      <c r="A23">
        <v>100105262</v>
      </c>
      <c r="B23" t="s">
        <v>48</v>
      </c>
      <c r="C23" t="s">
        <v>35</v>
      </c>
      <c r="D23" t="s">
        <v>19</v>
      </c>
    </row>
    <row r="24" spans="1:4" x14ac:dyDescent="0.35">
      <c r="A24">
        <v>100109882</v>
      </c>
      <c r="B24" t="s">
        <v>49</v>
      </c>
      <c r="C24" t="s">
        <v>42</v>
      </c>
      <c r="D24" t="s">
        <v>50</v>
      </c>
    </row>
    <row r="25" spans="1:4" x14ac:dyDescent="0.35">
      <c r="A25">
        <v>100144903</v>
      </c>
      <c r="B25" t="s">
        <v>51</v>
      </c>
      <c r="C25" t="s">
        <v>30</v>
      </c>
      <c r="D25" t="s">
        <v>33</v>
      </c>
    </row>
    <row r="26" spans="1:4" x14ac:dyDescent="0.35">
      <c r="A26">
        <v>100109458</v>
      </c>
      <c r="B26" t="s">
        <v>52</v>
      </c>
      <c r="C26" t="s">
        <v>16</v>
      </c>
      <c r="D26" t="s">
        <v>23</v>
      </c>
    </row>
    <row r="27" spans="1:4" x14ac:dyDescent="0.35">
      <c r="A27">
        <v>100096992</v>
      </c>
      <c r="B27" t="s">
        <v>53</v>
      </c>
      <c r="C27" t="s">
        <v>35</v>
      </c>
      <c r="D27" t="s">
        <v>33</v>
      </c>
    </row>
    <row r="28" spans="1:4" x14ac:dyDescent="0.35">
      <c r="A28">
        <v>100163744</v>
      </c>
      <c r="B28" t="s">
        <v>54</v>
      </c>
      <c r="C28" t="s">
        <v>16</v>
      </c>
      <c r="D28" t="s">
        <v>23</v>
      </c>
    </row>
    <row r="29" spans="1:4" x14ac:dyDescent="0.35">
      <c r="A29">
        <v>100145807</v>
      </c>
      <c r="B29" t="s">
        <v>55</v>
      </c>
      <c r="C29" t="s">
        <v>21</v>
      </c>
      <c r="D29" t="s">
        <v>19</v>
      </c>
    </row>
    <row r="30" spans="1:4" x14ac:dyDescent="0.35">
      <c r="A30">
        <v>100100387</v>
      </c>
      <c r="B30" t="s">
        <v>56</v>
      </c>
      <c r="C30" t="s">
        <v>46</v>
      </c>
      <c r="D30" t="s">
        <v>17</v>
      </c>
    </row>
    <row r="31" spans="1:4" x14ac:dyDescent="0.35">
      <c r="A31">
        <v>100138621</v>
      </c>
      <c r="B31" t="s">
        <v>57</v>
      </c>
      <c r="C31" t="s">
        <v>46</v>
      </c>
      <c r="D31" t="s">
        <v>33</v>
      </c>
    </row>
    <row r="32" spans="1:4" x14ac:dyDescent="0.35">
      <c r="A32">
        <v>100107413</v>
      </c>
      <c r="B32" t="s">
        <v>58</v>
      </c>
      <c r="C32" t="s">
        <v>46</v>
      </c>
      <c r="D32" t="s">
        <v>19</v>
      </c>
    </row>
    <row r="33" spans="1:4" x14ac:dyDescent="0.35">
      <c r="A33">
        <v>100101054</v>
      </c>
      <c r="B33" t="s">
        <v>59</v>
      </c>
      <c r="C33" t="s">
        <v>30</v>
      </c>
      <c r="D33" t="s">
        <v>17</v>
      </c>
    </row>
    <row r="34" spans="1:4" x14ac:dyDescent="0.35">
      <c r="A34">
        <v>100110451</v>
      </c>
      <c r="B34" t="s">
        <v>60</v>
      </c>
      <c r="C34" t="s">
        <v>16</v>
      </c>
      <c r="D34" t="s">
        <v>23</v>
      </c>
    </row>
    <row r="35" spans="1:4" x14ac:dyDescent="0.35">
      <c r="A35">
        <v>100106046</v>
      </c>
      <c r="B35" t="s">
        <v>61</v>
      </c>
      <c r="C35" t="s">
        <v>28</v>
      </c>
      <c r="D35" t="s">
        <v>23</v>
      </c>
    </row>
    <row r="36" spans="1:4" x14ac:dyDescent="0.35">
      <c r="A36">
        <v>100106803</v>
      </c>
      <c r="B36" t="s">
        <v>62</v>
      </c>
      <c r="C36" t="s">
        <v>16</v>
      </c>
      <c r="D36" t="s">
        <v>19</v>
      </c>
    </row>
    <row r="37" spans="1:4" x14ac:dyDescent="0.35">
      <c r="A37">
        <v>100131633</v>
      </c>
      <c r="B37" t="s">
        <v>63</v>
      </c>
      <c r="C37" t="s">
        <v>21</v>
      </c>
      <c r="D37" t="s">
        <v>64</v>
      </c>
    </row>
    <row r="38" spans="1:4" x14ac:dyDescent="0.35">
      <c r="A38">
        <v>100144248</v>
      </c>
      <c r="B38" t="s">
        <v>65</v>
      </c>
      <c r="C38" t="s">
        <v>28</v>
      </c>
      <c r="D38" t="s">
        <v>66</v>
      </c>
    </row>
    <row r="39" spans="1:4" x14ac:dyDescent="0.35">
      <c r="A39">
        <v>100110390</v>
      </c>
      <c r="B39" t="s">
        <v>67</v>
      </c>
      <c r="C39" t="s">
        <v>42</v>
      </c>
      <c r="D39" t="s">
        <v>19</v>
      </c>
    </row>
    <row r="40" spans="1:4" x14ac:dyDescent="0.35">
      <c r="A40">
        <v>100098488</v>
      </c>
      <c r="B40" t="s">
        <v>68</v>
      </c>
      <c r="C40" t="s">
        <v>16</v>
      </c>
      <c r="D40" t="s">
        <v>19</v>
      </c>
    </row>
    <row r="41" spans="1:4" x14ac:dyDescent="0.35">
      <c r="A41">
        <v>100147783</v>
      </c>
      <c r="B41" t="s">
        <v>69</v>
      </c>
      <c r="C41" t="s">
        <v>46</v>
      </c>
      <c r="D41" t="s">
        <v>19</v>
      </c>
    </row>
    <row r="42" spans="1:4" x14ac:dyDescent="0.35">
      <c r="A42">
        <v>100104883</v>
      </c>
      <c r="B42" t="s">
        <v>70</v>
      </c>
      <c r="C42" t="s">
        <v>42</v>
      </c>
      <c r="D42" t="s">
        <v>23</v>
      </c>
    </row>
    <row r="43" spans="1:4" x14ac:dyDescent="0.35">
      <c r="A43">
        <v>100109430</v>
      </c>
      <c r="B43" t="s">
        <v>71</v>
      </c>
      <c r="C43" t="s">
        <v>16</v>
      </c>
      <c r="D43" t="s">
        <v>72</v>
      </c>
    </row>
    <row r="44" spans="1:4" x14ac:dyDescent="0.35">
      <c r="A44">
        <v>100105165</v>
      </c>
      <c r="B44" t="s">
        <v>73</v>
      </c>
      <c r="C44" t="s">
        <v>16</v>
      </c>
      <c r="D44" t="s">
        <v>17</v>
      </c>
    </row>
    <row r="45" spans="1:4" x14ac:dyDescent="0.35">
      <c r="A45">
        <v>100099512</v>
      </c>
      <c r="B45" t="s">
        <v>74</v>
      </c>
      <c r="C45" t="s">
        <v>35</v>
      </c>
      <c r="D45" t="s">
        <v>75</v>
      </c>
    </row>
    <row r="46" spans="1:4" x14ac:dyDescent="0.35">
      <c r="A46">
        <v>100097085</v>
      </c>
      <c r="B46" t="s">
        <v>76</v>
      </c>
      <c r="C46" t="s">
        <v>46</v>
      </c>
      <c r="D46" t="s">
        <v>75</v>
      </c>
    </row>
    <row r="47" spans="1:4" x14ac:dyDescent="0.35">
      <c r="A47">
        <v>100143574</v>
      </c>
      <c r="B47" t="s">
        <v>77</v>
      </c>
      <c r="C47" t="s">
        <v>21</v>
      </c>
      <c r="D47" t="s">
        <v>19</v>
      </c>
    </row>
    <row r="48" spans="1:4" x14ac:dyDescent="0.35">
      <c r="A48">
        <v>100098162</v>
      </c>
      <c r="B48" t="s">
        <v>78</v>
      </c>
      <c r="C48" t="s">
        <v>28</v>
      </c>
      <c r="D48" t="s">
        <v>23</v>
      </c>
    </row>
    <row r="49" spans="1:4" x14ac:dyDescent="0.35">
      <c r="A49">
        <v>100109046</v>
      </c>
      <c r="B49" t="s">
        <v>79</v>
      </c>
      <c r="C49" t="s">
        <v>42</v>
      </c>
      <c r="D49" t="s">
        <v>19</v>
      </c>
    </row>
    <row r="50" spans="1:4" x14ac:dyDescent="0.35">
      <c r="A50">
        <v>100138283</v>
      </c>
      <c r="B50" t="s">
        <v>80</v>
      </c>
      <c r="C50" t="s">
        <v>46</v>
      </c>
      <c r="D50" t="s">
        <v>23</v>
      </c>
    </row>
    <row r="51" spans="1:4" x14ac:dyDescent="0.35">
      <c r="A51">
        <v>100108543</v>
      </c>
      <c r="B51" t="s">
        <v>81</v>
      </c>
      <c r="C51" t="s">
        <v>30</v>
      </c>
      <c r="D51" t="s">
        <v>23</v>
      </c>
    </row>
    <row r="52" spans="1:4" x14ac:dyDescent="0.35">
      <c r="A52">
        <v>100099523</v>
      </c>
      <c r="B52" t="s">
        <v>82</v>
      </c>
      <c r="C52" t="s">
        <v>16</v>
      </c>
      <c r="D52" t="s">
        <v>23</v>
      </c>
    </row>
    <row r="53" spans="1:4" x14ac:dyDescent="0.35">
      <c r="A53">
        <v>100138406</v>
      </c>
      <c r="B53" t="s">
        <v>83</v>
      </c>
      <c r="C53" t="s">
        <v>28</v>
      </c>
      <c r="D53" t="s">
        <v>33</v>
      </c>
    </row>
    <row r="54" spans="1:4" x14ac:dyDescent="0.35">
      <c r="A54">
        <v>100163061</v>
      </c>
      <c r="B54" t="s">
        <v>84</v>
      </c>
      <c r="C54" t="s">
        <v>35</v>
      </c>
      <c r="D54" t="s">
        <v>66</v>
      </c>
    </row>
    <row r="55" spans="1:4" x14ac:dyDescent="0.35">
      <c r="A55">
        <v>100102268</v>
      </c>
      <c r="B55" t="s">
        <v>85</v>
      </c>
      <c r="C55" t="s">
        <v>16</v>
      </c>
      <c r="D55" t="s">
        <v>72</v>
      </c>
    </row>
    <row r="56" spans="1:4" x14ac:dyDescent="0.35">
      <c r="A56">
        <v>100106320</v>
      </c>
      <c r="B56" t="s">
        <v>86</v>
      </c>
      <c r="C56" t="s">
        <v>42</v>
      </c>
      <c r="D56" t="s">
        <v>19</v>
      </c>
    </row>
    <row r="57" spans="1:4" x14ac:dyDescent="0.35">
      <c r="A57">
        <v>100102527</v>
      </c>
      <c r="B57" t="s">
        <v>87</v>
      </c>
      <c r="C57" t="s">
        <v>16</v>
      </c>
      <c r="D57" t="s">
        <v>23</v>
      </c>
    </row>
    <row r="58" spans="1:4" x14ac:dyDescent="0.35">
      <c r="A58">
        <v>100140228</v>
      </c>
      <c r="B58" t="s">
        <v>88</v>
      </c>
      <c r="C58" t="s">
        <v>30</v>
      </c>
      <c r="D58" t="s">
        <v>19</v>
      </c>
    </row>
    <row r="59" spans="1:4" x14ac:dyDescent="0.35">
      <c r="A59">
        <v>100173480</v>
      </c>
      <c r="B59" t="s">
        <v>89</v>
      </c>
      <c r="C59" t="s">
        <v>16</v>
      </c>
      <c r="D59" t="s">
        <v>23</v>
      </c>
    </row>
    <row r="60" spans="1:4" x14ac:dyDescent="0.35">
      <c r="A60">
        <v>100143567</v>
      </c>
      <c r="B60" t="s">
        <v>90</v>
      </c>
      <c r="C60" t="s">
        <v>21</v>
      </c>
      <c r="D60" t="s">
        <v>19</v>
      </c>
    </row>
    <row r="61" spans="1:4" x14ac:dyDescent="0.35">
      <c r="A61">
        <v>100104342</v>
      </c>
      <c r="B61" t="s">
        <v>91</v>
      </c>
      <c r="C61" t="s">
        <v>35</v>
      </c>
      <c r="D61" t="s">
        <v>23</v>
      </c>
    </row>
    <row r="62" spans="1:4" x14ac:dyDescent="0.35">
      <c r="A62">
        <v>100166833</v>
      </c>
      <c r="B62" t="s">
        <v>92</v>
      </c>
      <c r="C62" t="s">
        <v>16</v>
      </c>
      <c r="D62" t="s">
        <v>19</v>
      </c>
    </row>
    <row r="63" spans="1:4" x14ac:dyDescent="0.35">
      <c r="A63">
        <v>100103481</v>
      </c>
      <c r="B63" t="s">
        <v>93</v>
      </c>
      <c r="C63" t="s">
        <v>16</v>
      </c>
      <c r="D63" t="s">
        <v>19</v>
      </c>
    </row>
    <row r="64" spans="1:4" x14ac:dyDescent="0.35">
      <c r="A64">
        <v>100106480</v>
      </c>
      <c r="B64" t="s">
        <v>94</v>
      </c>
      <c r="C64" t="s">
        <v>16</v>
      </c>
      <c r="D64" t="s">
        <v>33</v>
      </c>
    </row>
    <row r="65" spans="1:4" x14ac:dyDescent="0.35">
      <c r="A65">
        <v>100144958</v>
      </c>
      <c r="B65" t="s">
        <v>95</v>
      </c>
      <c r="C65" t="s">
        <v>96</v>
      </c>
      <c r="D65" t="s">
        <v>19</v>
      </c>
    </row>
    <row r="66" spans="1:4" x14ac:dyDescent="0.35">
      <c r="A66">
        <v>100106126</v>
      </c>
      <c r="B66" t="s">
        <v>97</v>
      </c>
      <c r="C66" t="s">
        <v>30</v>
      </c>
      <c r="D66" t="s">
        <v>17</v>
      </c>
    </row>
    <row r="67" spans="1:4" x14ac:dyDescent="0.35">
      <c r="A67">
        <v>100108101</v>
      </c>
      <c r="B67" t="s">
        <v>98</v>
      </c>
      <c r="C67" t="s">
        <v>46</v>
      </c>
      <c r="D67" t="s">
        <v>17</v>
      </c>
    </row>
    <row r="68" spans="1:4" x14ac:dyDescent="0.35">
      <c r="A68">
        <v>100103406</v>
      </c>
      <c r="B68" t="s">
        <v>99</v>
      </c>
      <c r="C68" t="s">
        <v>16</v>
      </c>
      <c r="D68" t="s">
        <v>100</v>
      </c>
    </row>
    <row r="69" spans="1:4" x14ac:dyDescent="0.35">
      <c r="A69">
        <v>100104826</v>
      </c>
      <c r="B69" t="s">
        <v>101</v>
      </c>
      <c r="C69" t="s">
        <v>28</v>
      </c>
      <c r="D69" t="s">
        <v>75</v>
      </c>
    </row>
    <row r="70" spans="1:4" x14ac:dyDescent="0.35">
      <c r="A70">
        <v>100096892</v>
      </c>
      <c r="B70" t="s">
        <v>102</v>
      </c>
      <c r="C70" t="s">
        <v>30</v>
      </c>
      <c r="D70" t="s">
        <v>19</v>
      </c>
    </row>
    <row r="71" spans="1:4" x14ac:dyDescent="0.35">
      <c r="A71">
        <v>100106992</v>
      </c>
      <c r="B71" t="s">
        <v>103</v>
      </c>
      <c r="C71" t="s">
        <v>42</v>
      </c>
      <c r="D71" t="s">
        <v>19</v>
      </c>
    </row>
    <row r="72" spans="1:4" x14ac:dyDescent="0.35">
      <c r="A72">
        <v>100139537</v>
      </c>
      <c r="B72" t="s">
        <v>104</v>
      </c>
      <c r="C72" t="s">
        <v>30</v>
      </c>
      <c r="D72" t="s">
        <v>19</v>
      </c>
    </row>
    <row r="73" spans="1:4" x14ac:dyDescent="0.35">
      <c r="A73">
        <v>100136340</v>
      </c>
      <c r="B73" t="s">
        <v>105</v>
      </c>
      <c r="C73" t="s">
        <v>21</v>
      </c>
      <c r="D73" t="s">
        <v>19</v>
      </c>
    </row>
    <row r="74" spans="1:4" x14ac:dyDescent="0.35">
      <c r="A74">
        <v>100096391</v>
      </c>
      <c r="B74" t="s">
        <v>106</v>
      </c>
      <c r="C74" t="s">
        <v>35</v>
      </c>
      <c r="D74" t="s">
        <v>107</v>
      </c>
    </row>
    <row r="75" spans="1:4" x14ac:dyDescent="0.35">
      <c r="A75">
        <v>100103138</v>
      </c>
      <c r="B75" t="s">
        <v>108</v>
      </c>
      <c r="C75" t="s">
        <v>109</v>
      </c>
      <c r="D75" t="s">
        <v>19</v>
      </c>
    </row>
    <row r="76" spans="1:4" x14ac:dyDescent="0.35">
      <c r="A76">
        <v>100097297</v>
      </c>
      <c r="B76" t="s">
        <v>13</v>
      </c>
      <c r="C76" t="s">
        <v>42</v>
      </c>
      <c r="D76" t="s">
        <v>19</v>
      </c>
    </row>
    <row r="77" spans="1:4" x14ac:dyDescent="0.35">
      <c r="A77">
        <v>100104606</v>
      </c>
      <c r="B77" t="s">
        <v>110</v>
      </c>
      <c r="C77" t="s">
        <v>35</v>
      </c>
      <c r="D77" t="s">
        <v>23</v>
      </c>
    </row>
    <row r="78" spans="1:4" x14ac:dyDescent="0.35">
      <c r="A78">
        <v>100096741</v>
      </c>
      <c r="B78" t="s">
        <v>111</v>
      </c>
      <c r="C78" t="s">
        <v>16</v>
      </c>
      <c r="D78" t="s">
        <v>19</v>
      </c>
    </row>
    <row r="79" spans="1:4" x14ac:dyDescent="0.35">
      <c r="A79">
        <v>100136590</v>
      </c>
      <c r="B79" t="s">
        <v>112</v>
      </c>
      <c r="C79" t="s">
        <v>28</v>
      </c>
      <c r="D79" t="s">
        <v>23</v>
      </c>
    </row>
    <row r="80" spans="1:4" x14ac:dyDescent="0.35">
      <c r="A80">
        <v>100100327</v>
      </c>
      <c r="B80" t="s">
        <v>113</v>
      </c>
      <c r="C80" t="s">
        <v>109</v>
      </c>
      <c r="D80" t="s">
        <v>19</v>
      </c>
    </row>
    <row r="81" spans="1:4" x14ac:dyDescent="0.35">
      <c r="A81">
        <v>100137468</v>
      </c>
      <c r="B81" t="s">
        <v>114</v>
      </c>
      <c r="C81" t="s">
        <v>30</v>
      </c>
      <c r="D81" t="s">
        <v>19</v>
      </c>
    </row>
    <row r="82" spans="1:4" x14ac:dyDescent="0.35">
      <c r="A82">
        <v>100105356</v>
      </c>
      <c r="B82" t="s">
        <v>115</v>
      </c>
      <c r="C82" t="s">
        <v>42</v>
      </c>
      <c r="D82" t="s">
        <v>33</v>
      </c>
    </row>
    <row r="83" spans="1:4" x14ac:dyDescent="0.35">
      <c r="A83">
        <v>100137452</v>
      </c>
      <c r="B83" t="s">
        <v>116</v>
      </c>
      <c r="C83" t="s">
        <v>46</v>
      </c>
      <c r="D83" t="s">
        <v>23</v>
      </c>
    </row>
    <row r="84" spans="1:4" x14ac:dyDescent="0.35">
      <c r="A84">
        <v>100105317</v>
      </c>
      <c r="B84" t="s">
        <v>117</v>
      </c>
      <c r="C84" t="s">
        <v>109</v>
      </c>
      <c r="D84" t="s">
        <v>23</v>
      </c>
    </row>
    <row r="85" spans="1:4" x14ac:dyDescent="0.35">
      <c r="A85">
        <v>100103689</v>
      </c>
      <c r="B85" t="s">
        <v>118</v>
      </c>
      <c r="C85" t="s">
        <v>46</v>
      </c>
      <c r="D85" t="s">
        <v>33</v>
      </c>
    </row>
    <row r="86" spans="1:4" x14ac:dyDescent="0.35">
      <c r="A86">
        <v>100104583</v>
      </c>
      <c r="B86" t="s">
        <v>119</v>
      </c>
      <c r="C86" t="s">
        <v>28</v>
      </c>
      <c r="D86" t="s">
        <v>19</v>
      </c>
    </row>
    <row r="87" spans="1:4" x14ac:dyDescent="0.35">
      <c r="A87">
        <v>100106849</v>
      </c>
      <c r="B87" t="s">
        <v>120</v>
      </c>
      <c r="C87" t="s">
        <v>21</v>
      </c>
      <c r="D87" t="s">
        <v>23</v>
      </c>
    </row>
    <row r="88" spans="1:4" x14ac:dyDescent="0.35">
      <c r="A88">
        <v>100101300</v>
      </c>
      <c r="B88" t="s">
        <v>121</v>
      </c>
      <c r="C88" t="s">
        <v>30</v>
      </c>
      <c r="D88" t="s">
        <v>23</v>
      </c>
    </row>
    <row r="89" spans="1:4" x14ac:dyDescent="0.35">
      <c r="A89">
        <v>100173001</v>
      </c>
      <c r="B89" t="s">
        <v>122</v>
      </c>
      <c r="C89" t="s">
        <v>16</v>
      </c>
      <c r="D89" t="s">
        <v>19</v>
      </c>
    </row>
    <row r="90" spans="1:4" x14ac:dyDescent="0.35">
      <c r="A90">
        <v>100109433</v>
      </c>
      <c r="B90" t="s">
        <v>123</v>
      </c>
      <c r="C90" t="s">
        <v>16</v>
      </c>
      <c r="D90" t="s">
        <v>72</v>
      </c>
    </row>
    <row r="91" spans="1:4" x14ac:dyDescent="0.35">
      <c r="A91">
        <v>100049354</v>
      </c>
      <c r="B91" t="s">
        <v>124</v>
      </c>
      <c r="C91" t="s">
        <v>35</v>
      </c>
      <c r="D91" t="s">
        <v>125</v>
      </c>
    </row>
    <row r="92" spans="1:4" x14ac:dyDescent="0.35">
      <c r="A92">
        <v>100106898</v>
      </c>
      <c r="B92" t="s">
        <v>126</v>
      </c>
      <c r="C92" t="s">
        <v>21</v>
      </c>
      <c r="D92" t="s">
        <v>75</v>
      </c>
    </row>
    <row r="93" spans="1:4" x14ac:dyDescent="0.35">
      <c r="A93">
        <v>100107390</v>
      </c>
      <c r="B93" t="s">
        <v>127</v>
      </c>
      <c r="C93" t="s">
        <v>28</v>
      </c>
      <c r="D93" t="s">
        <v>17</v>
      </c>
    </row>
    <row r="94" spans="1:4" x14ac:dyDescent="0.35">
      <c r="A94">
        <v>100133192</v>
      </c>
      <c r="B94" t="s">
        <v>128</v>
      </c>
      <c r="C94" t="s">
        <v>30</v>
      </c>
      <c r="D94" t="s">
        <v>19</v>
      </c>
    </row>
    <row r="95" spans="1:4" x14ac:dyDescent="0.35">
      <c r="A95">
        <v>100102841</v>
      </c>
      <c r="B95" t="s">
        <v>129</v>
      </c>
      <c r="C95" t="s">
        <v>16</v>
      </c>
      <c r="D95" t="s">
        <v>23</v>
      </c>
    </row>
    <row r="96" spans="1:4" x14ac:dyDescent="0.35">
      <c r="A96">
        <v>100109904</v>
      </c>
      <c r="B96" t="s">
        <v>130</v>
      </c>
      <c r="C96" t="s">
        <v>30</v>
      </c>
      <c r="D96" t="s">
        <v>107</v>
      </c>
    </row>
    <row r="97" spans="1:4" x14ac:dyDescent="0.35">
      <c r="A97">
        <v>100101715</v>
      </c>
      <c r="B97" t="s">
        <v>131</v>
      </c>
      <c r="C97" t="s">
        <v>16</v>
      </c>
      <c r="D97" t="s">
        <v>33</v>
      </c>
    </row>
    <row r="98" spans="1:4" x14ac:dyDescent="0.35">
      <c r="A98">
        <v>100126028</v>
      </c>
      <c r="B98" t="s">
        <v>132</v>
      </c>
      <c r="C98" t="s">
        <v>35</v>
      </c>
      <c r="D98" t="s">
        <v>33</v>
      </c>
    </row>
    <row r="99" spans="1:4" x14ac:dyDescent="0.35">
      <c r="A99">
        <v>100107222</v>
      </c>
      <c r="B99" t="s">
        <v>133</v>
      </c>
      <c r="C99" t="s">
        <v>16</v>
      </c>
      <c r="D99" t="s">
        <v>72</v>
      </c>
    </row>
    <row r="100" spans="1:4" x14ac:dyDescent="0.35">
      <c r="A100">
        <v>100105360</v>
      </c>
      <c r="B100" t="s">
        <v>134</v>
      </c>
      <c r="C100" t="s">
        <v>16</v>
      </c>
      <c r="D100" t="s">
        <v>75</v>
      </c>
    </row>
    <row r="101" spans="1:4" x14ac:dyDescent="0.35">
      <c r="A101">
        <v>100163807</v>
      </c>
      <c r="B101" t="s">
        <v>135</v>
      </c>
      <c r="C101" t="s">
        <v>46</v>
      </c>
      <c r="D101" t="s">
        <v>33</v>
      </c>
    </row>
    <row r="102" spans="1:4" x14ac:dyDescent="0.35">
      <c r="A102">
        <v>100107974</v>
      </c>
      <c r="B102" t="s">
        <v>136</v>
      </c>
      <c r="C102" t="s">
        <v>42</v>
      </c>
      <c r="D102" t="s">
        <v>17</v>
      </c>
    </row>
    <row r="103" spans="1:4" x14ac:dyDescent="0.35">
      <c r="A103">
        <v>100097059</v>
      </c>
      <c r="B103" t="s">
        <v>137</v>
      </c>
      <c r="C103" t="s">
        <v>46</v>
      </c>
      <c r="D103" t="s">
        <v>75</v>
      </c>
    </row>
    <row r="104" spans="1:4" x14ac:dyDescent="0.35">
      <c r="A104">
        <v>100103001</v>
      </c>
      <c r="B104" t="s">
        <v>138</v>
      </c>
      <c r="C104" t="s">
        <v>16</v>
      </c>
      <c r="D104" t="s">
        <v>33</v>
      </c>
    </row>
    <row r="105" spans="1:4" x14ac:dyDescent="0.35">
      <c r="A105">
        <v>100098636</v>
      </c>
      <c r="B105" t="s">
        <v>139</v>
      </c>
      <c r="C105" t="s">
        <v>21</v>
      </c>
      <c r="D105" t="s">
        <v>19</v>
      </c>
    </row>
    <row r="106" spans="1:4" x14ac:dyDescent="0.35">
      <c r="A106">
        <v>100102947</v>
      </c>
      <c r="B106" t="s">
        <v>140</v>
      </c>
      <c r="C106" t="s">
        <v>42</v>
      </c>
      <c r="D106" t="s">
        <v>19</v>
      </c>
    </row>
    <row r="107" spans="1:4" x14ac:dyDescent="0.35">
      <c r="A107">
        <v>100144722</v>
      </c>
      <c r="B107" t="s">
        <v>141</v>
      </c>
      <c r="C107" t="s">
        <v>96</v>
      </c>
      <c r="D107" t="s">
        <v>33</v>
      </c>
    </row>
    <row r="108" spans="1:4" x14ac:dyDescent="0.35">
      <c r="A108">
        <v>100144696</v>
      </c>
      <c r="B108" t="s">
        <v>142</v>
      </c>
      <c r="C108" t="s">
        <v>30</v>
      </c>
      <c r="D108" t="s">
        <v>19</v>
      </c>
    </row>
    <row r="109" spans="1:4" x14ac:dyDescent="0.35">
      <c r="A109">
        <v>100138635</v>
      </c>
      <c r="B109" t="s">
        <v>143</v>
      </c>
      <c r="C109" t="s">
        <v>30</v>
      </c>
      <c r="D109" t="s">
        <v>66</v>
      </c>
    </row>
    <row r="110" spans="1:4" x14ac:dyDescent="0.35">
      <c r="A110">
        <v>100173972</v>
      </c>
      <c r="B110" t="s">
        <v>144</v>
      </c>
      <c r="C110" t="s">
        <v>16</v>
      </c>
      <c r="D110" t="s">
        <v>23</v>
      </c>
    </row>
    <row r="111" spans="1:4" x14ac:dyDescent="0.35">
      <c r="A111">
        <v>100098544</v>
      </c>
      <c r="B111" t="s">
        <v>145</v>
      </c>
      <c r="C111" t="s">
        <v>42</v>
      </c>
      <c r="D111" t="s">
        <v>75</v>
      </c>
    </row>
    <row r="112" spans="1:4" x14ac:dyDescent="0.35">
      <c r="A112">
        <v>100103480</v>
      </c>
      <c r="B112" t="s">
        <v>146</v>
      </c>
      <c r="C112" t="s">
        <v>46</v>
      </c>
      <c r="D112" t="s">
        <v>23</v>
      </c>
    </row>
    <row r="113" spans="1:4" x14ac:dyDescent="0.35">
      <c r="A113">
        <v>100108368</v>
      </c>
      <c r="B113" t="s">
        <v>147</v>
      </c>
      <c r="C113" t="s">
        <v>28</v>
      </c>
      <c r="D113" t="s">
        <v>17</v>
      </c>
    </row>
    <row r="114" spans="1:4" x14ac:dyDescent="0.35">
      <c r="A114">
        <v>100107714</v>
      </c>
      <c r="B114" t="s">
        <v>148</v>
      </c>
      <c r="C114" t="s">
        <v>28</v>
      </c>
      <c r="D114" t="s">
        <v>19</v>
      </c>
    </row>
    <row r="115" spans="1:4" x14ac:dyDescent="0.35">
      <c r="A115">
        <v>100096651</v>
      </c>
      <c r="B115" t="s">
        <v>149</v>
      </c>
      <c r="C115" t="s">
        <v>28</v>
      </c>
      <c r="D115" t="s">
        <v>19</v>
      </c>
    </row>
    <row r="116" spans="1:4" x14ac:dyDescent="0.35">
      <c r="A116">
        <v>100139560</v>
      </c>
      <c r="B116" t="s">
        <v>150</v>
      </c>
      <c r="C116" t="s">
        <v>42</v>
      </c>
      <c r="D116" t="s">
        <v>19</v>
      </c>
    </row>
    <row r="117" spans="1:4" x14ac:dyDescent="0.35">
      <c r="A117">
        <v>100100051</v>
      </c>
      <c r="B117" t="s">
        <v>151</v>
      </c>
      <c r="C117" t="s">
        <v>16</v>
      </c>
      <c r="D117" t="s">
        <v>75</v>
      </c>
    </row>
    <row r="118" spans="1:4" x14ac:dyDescent="0.35">
      <c r="A118">
        <v>100097635</v>
      </c>
      <c r="B118" t="s">
        <v>152</v>
      </c>
      <c r="C118" t="s">
        <v>16</v>
      </c>
      <c r="D118" t="s">
        <v>23</v>
      </c>
    </row>
    <row r="119" spans="1:4" x14ac:dyDescent="0.35">
      <c r="A119">
        <v>100138615</v>
      </c>
      <c r="B119" t="s">
        <v>153</v>
      </c>
      <c r="C119" t="s">
        <v>154</v>
      </c>
      <c r="D119" t="s">
        <v>72</v>
      </c>
    </row>
    <row r="120" spans="1:4" x14ac:dyDescent="0.35">
      <c r="A120">
        <v>100103879</v>
      </c>
      <c r="B120" t="s">
        <v>155</v>
      </c>
      <c r="C120" t="s">
        <v>16</v>
      </c>
      <c r="D120" t="s">
        <v>19</v>
      </c>
    </row>
    <row r="121" spans="1:4" x14ac:dyDescent="0.35">
      <c r="A121">
        <v>100144719</v>
      </c>
      <c r="B121" t="s">
        <v>156</v>
      </c>
      <c r="C121" t="s">
        <v>109</v>
      </c>
      <c r="D121" t="s">
        <v>47</v>
      </c>
    </row>
    <row r="122" spans="1:4" x14ac:dyDescent="0.35">
      <c r="A122">
        <v>100108987</v>
      </c>
      <c r="B122" t="s">
        <v>157</v>
      </c>
      <c r="C122" t="s">
        <v>28</v>
      </c>
      <c r="D122" t="s">
        <v>75</v>
      </c>
    </row>
    <row r="123" spans="1:4" x14ac:dyDescent="0.35">
      <c r="A123">
        <v>100133461</v>
      </c>
      <c r="B123" t="s">
        <v>158</v>
      </c>
      <c r="C123" t="s">
        <v>21</v>
      </c>
      <c r="D123" t="s">
        <v>23</v>
      </c>
    </row>
    <row r="124" spans="1:4" x14ac:dyDescent="0.35">
      <c r="A124">
        <v>100165436</v>
      </c>
      <c r="B124" t="s">
        <v>159</v>
      </c>
      <c r="C124" t="s">
        <v>42</v>
      </c>
      <c r="D124" t="s">
        <v>19</v>
      </c>
    </row>
    <row r="125" spans="1:4" x14ac:dyDescent="0.35">
      <c r="A125">
        <v>100144875</v>
      </c>
      <c r="B125" t="s">
        <v>160</v>
      </c>
      <c r="C125" t="s">
        <v>109</v>
      </c>
      <c r="D125" t="s">
        <v>47</v>
      </c>
    </row>
    <row r="126" spans="1:4" x14ac:dyDescent="0.35">
      <c r="A126">
        <v>100108671</v>
      </c>
      <c r="B126" t="s">
        <v>161</v>
      </c>
      <c r="C126" t="s">
        <v>28</v>
      </c>
      <c r="D126" t="s">
        <v>23</v>
      </c>
    </row>
    <row r="127" spans="1:4" x14ac:dyDescent="0.35">
      <c r="A127">
        <v>100101249</v>
      </c>
      <c r="B127" t="s">
        <v>162</v>
      </c>
      <c r="C127" t="s">
        <v>42</v>
      </c>
      <c r="D127" t="s">
        <v>19</v>
      </c>
    </row>
    <row r="128" spans="1:4" x14ac:dyDescent="0.35">
      <c r="A128">
        <v>100101357</v>
      </c>
      <c r="B128" t="s">
        <v>163</v>
      </c>
      <c r="C128" t="s">
        <v>42</v>
      </c>
      <c r="D128" t="s">
        <v>50</v>
      </c>
    </row>
    <row r="129" spans="1:4" x14ac:dyDescent="0.35">
      <c r="A129">
        <v>100104988</v>
      </c>
      <c r="B129" t="s">
        <v>164</v>
      </c>
      <c r="C129" t="s">
        <v>35</v>
      </c>
      <c r="D129" t="s">
        <v>23</v>
      </c>
    </row>
    <row r="130" spans="1:4" x14ac:dyDescent="0.35">
      <c r="A130">
        <v>100097074</v>
      </c>
      <c r="B130" t="s">
        <v>165</v>
      </c>
      <c r="C130" t="s">
        <v>16</v>
      </c>
      <c r="D130" t="s">
        <v>23</v>
      </c>
    </row>
    <row r="131" spans="1:4" x14ac:dyDescent="0.35">
      <c r="A131">
        <v>100126999</v>
      </c>
      <c r="B131" t="s">
        <v>166</v>
      </c>
      <c r="C131" t="s">
        <v>16</v>
      </c>
      <c r="D131" t="s">
        <v>17</v>
      </c>
    </row>
    <row r="132" spans="1:4" x14ac:dyDescent="0.35">
      <c r="A132">
        <v>100105469</v>
      </c>
      <c r="B132" t="s">
        <v>167</v>
      </c>
      <c r="C132" t="s">
        <v>46</v>
      </c>
      <c r="D132" t="s">
        <v>23</v>
      </c>
    </row>
    <row r="133" spans="1:4" x14ac:dyDescent="0.35">
      <c r="A133">
        <v>100105526</v>
      </c>
      <c r="B133" t="s">
        <v>168</v>
      </c>
      <c r="C133" t="s">
        <v>109</v>
      </c>
      <c r="D133" t="s">
        <v>23</v>
      </c>
    </row>
    <row r="134" spans="1:4" x14ac:dyDescent="0.35">
      <c r="A134">
        <v>100102977</v>
      </c>
      <c r="B134" t="s">
        <v>169</v>
      </c>
      <c r="C134" t="s">
        <v>30</v>
      </c>
      <c r="D134" t="s">
        <v>19</v>
      </c>
    </row>
    <row r="135" spans="1:4" x14ac:dyDescent="0.35">
      <c r="A135">
        <v>100108997</v>
      </c>
      <c r="B135" t="s">
        <v>170</v>
      </c>
      <c r="C135" t="s">
        <v>35</v>
      </c>
      <c r="D135" t="s">
        <v>23</v>
      </c>
    </row>
    <row r="136" spans="1:4" x14ac:dyDescent="0.35">
      <c r="A136">
        <v>100109142</v>
      </c>
      <c r="B136" t="s">
        <v>171</v>
      </c>
      <c r="C136" t="s">
        <v>46</v>
      </c>
      <c r="D136" t="s">
        <v>33</v>
      </c>
    </row>
    <row r="137" spans="1:4" x14ac:dyDescent="0.35">
      <c r="A137">
        <v>100103157</v>
      </c>
      <c r="B137" t="s">
        <v>172</v>
      </c>
      <c r="C137" t="s">
        <v>16</v>
      </c>
      <c r="D137" t="s">
        <v>75</v>
      </c>
    </row>
    <row r="138" spans="1:4" x14ac:dyDescent="0.35">
      <c r="A138">
        <v>100101951</v>
      </c>
      <c r="B138" t="s">
        <v>173</v>
      </c>
      <c r="C138" t="s">
        <v>42</v>
      </c>
      <c r="D138" t="s">
        <v>19</v>
      </c>
    </row>
    <row r="139" spans="1:4" x14ac:dyDescent="0.35">
      <c r="A139">
        <v>100102479</v>
      </c>
      <c r="B139" t="s">
        <v>174</v>
      </c>
      <c r="C139" t="s">
        <v>16</v>
      </c>
      <c r="D139" t="s">
        <v>19</v>
      </c>
    </row>
    <row r="140" spans="1:4" x14ac:dyDescent="0.35">
      <c r="A140">
        <v>100137351</v>
      </c>
      <c r="B140" t="s">
        <v>175</v>
      </c>
      <c r="C140" t="s">
        <v>16</v>
      </c>
      <c r="D140" t="s">
        <v>19</v>
      </c>
    </row>
    <row r="141" spans="1:4" x14ac:dyDescent="0.35">
      <c r="A141">
        <v>100131378</v>
      </c>
      <c r="B141" t="s">
        <v>176</v>
      </c>
      <c r="C141" t="s">
        <v>30</v>
      </c>
      <c r="D141" t="s">
        <v>47</v>
      </c>
    </row>
    <row r="142" spans="1:4" x14ac:dyDescent="0.35">
      <c r="A142">
        <v>100142702</v>
      </c>
      <c r="B142" t="s">
        <v>177</v>
      </c>
      <c r="C142" t="s">
        <v>21</v>
      </c>
      <c r="D142" t="s">
        <v>19</v>
      </c>
    </row>
    <row r="143" spans="1:4" x14ac:dyDescent="0.35">
      <c r="A143">
        <v>100103616</v>
      </c>
      <c r="B143" t="s">
        <v>178</v>
      </c>
      <c r="C143" t="s">
        <v>35</v>
      </c>
      <c r="D143" t="s">
        <v>19</v>
      </c>
    </row>
    <row r="144" spans="1:4" x14ac:dyDescent="0.35">
      <c r="A144">
        <v>100097761</v>
      </c>
      <c r="B144" t="s">
        <v>179</v>
      </c>
      <c r="C144" t="s">
        <v>16</v>
      </c>
      <c r="D144" t="s">
        <v>23</v>
      </c>
    </row>
    <row r="145" spans="1:4" x14ac:dyDescent="0.35">
      <c r="A145">
        <v>100100181</v>
      </c>
      <c r="B145" t="s">
        <v>180</v>
      </c>
      <c r="C145" t="s">
        <v>30</v>
      </c>
      <c r="D145" t="s">
        <v>19</v>
      </c>
    </row>
    <row r="146" spans="1:4" x14ac:dyDescent="0.35">
      <c r="A146">
        <v>100131066</v>
      </c>
      <c r="B146" t="s">
        <v>181</v>
      </c>
      <c r="C146" t="s">
        <v>21</v>
      </c>
      <c r="D146" t="s">
        <v>17</v>
      </c>
    </row>
    <row r="147" spans="1:4" x14ac:dyDescent="0.35">
      <c r="A147">
        <v>100110707</v>
      </c>
      <c r="B147" t="s">
        <v>182</v>
      </c>
      <c r="C147" t="s">
        <v>109</v>
      </c>
      <c r="D147" t="s">
        <v>23</v>
      </c>
    </row>
    <row r="148" spans="1:4" x14ac:dyDescent="0.35">
      <c r="A148">
        <v>100142991</v>
      </c>
      <c r="B148" t="s">
        <v>183</v>
      </c>
      <c r="C148" t="s">
        <v>21</v>
      </c>
      <c r="D148" t="s">
        <v>19</v>
      </c>
    </row>
    <row r="149" spans="1:4" x14ac:dyDescent="0.35">
      <c r="A149">
        <v>100109440</v>
      </c>
      <c r="B149" t="s">
        <v>184</v>
      </c>
      <c r="C149" t="s">
        <v>46</v>
      </c>
      <c r="D149" t="s">
        <v>100</v>
      </c>
    </row>
    <row r="150" spans="1:4" x14ac:dyDescent="0.35">
      <c r="A150">
        <v>100101226</v>
      </c>
      <c r="B150" t="s">
        <v>185</v>
      </c>
      <c r="C150" t="s">
        <v>16</v>
      </c>
      <c r="D150" t="s">
        <v>33</v>
      </c>
    </row>
    <row r="151" spans="1:4" x14ac:dyDescent="0.35">
      <c r="A151">
        <v>100098219</v>
      </c>
      <c r="B151" t="s">
        <v>186</v>
      </c>
      <c r="C151" t="s">
        <v>35</v>
      </c>
      <c r="D151" t="s">
        <v>19</v>
      </c>
    </row>
    <row r="152" spans="1:4" x14ac:dyDescent="0.35">
      <c r="A152">
        <v>100100263</v>
      </c>
      <c r="B152" t="s">
        <v>187</v>
      </c>
      <c r="C152" t="s">
        <v>30</v>
      </c>
      <c r="D152" t="s">
        <v>19</v>
      </c>
    </row>
    <row r="153" spans="1:4" x14ac:dyDescent="0.35">
      <c r="A153">
        <v>100105841</v>
      </c>
      <c r="B153" t="s">
        <v>188</v>
      </c>
      <c r="C153" t="s">
        <v>109</v>
      </c>
      <c r="D153" t="s">
        <v>23</v>
      </c>
    </row>
    <row r="154" spans="1:4" x14ac:dyDescent="0.35">
      <c r="A154">
        <v>100142278</v>
      </c>
      <c r="B154" t="s">
        <v>189</v>
      </c>
      <c r="C154" t="s">
        <v>21</v>
      </c>
      <c r="D154" t="s">
        <v>19</v>
      </c>
    </row>
    <row r="155" spans="1:4" x14ac:dyDescent="0.35">
      <c r="A155">
        <v>100171856</v>
      </c>
      <c r="B155" t="s">
        <v>190</v>
      </c>
      <c r="C155" t="s">
        <v>16</v>
      </c>
      <c r="D155" t="s">
        <v>19</v>
      </c>
    </row>
    <row r="156" spans="1:4" x14ac:dyDescent="0.35">
      <c r="A156">
        <v>100135121</v>
      </c>
      <c r="B156" t="s">
        <v>191</v>
      </c>
      <c r="C156" t="s">
        <v>16</v>
      </c>
      <c r="D156" t="s">
        <v>19</v>
      </c>
    </row>
    <row r="157" spans="1:4" x14ac:dyDescent="0.35">
      <c r="A157">
        <v>100102385</v>
      </c>
      <c r="B157" t="s">
        <v>192</v>
      </c>
      <c r="C157" t="s">
        <v>16</v>
      </c>
      <c r="D157" t="s">
        <v>23</v>
      </c>
    </row>
    <row r="158" spans="1:4" x14ac:dyDescent="0.35">
      <c r="A158">
        <v>100139794</v>
      </c>
      <c r="B158" t="s">
        <v>193</v>
      </c>
      <c r="C158" t="s">
        <v>16</v>
      </c>
      <c r="D158" t="s">
        <v>72</v>
      </c>
    </row>
    <row r="159" spans="1:4" x14ac:dyDescent="0.35">
      <c r="A159">
        <v>10016648</v>
      </c>
      <c r="B159" t="s">
        <v>194</v>
      </c>
      <c r="C159" t="s">
        <v>16</v>
      </c>
      <c r="D159" t="s">
        <v>19</v>
      </c>
    </row>
    <row r="160" spans="1:4" x14ac:dyDescent="0.35">
      <c r="A160">
        <v>100142674</v>
      </c>
      <c r="B160" t="s">
        <v>195</v>
      </c>
      <c r="C160" t="s">
        <v>16</v>
      </c>
      <c r="D160" t="s">
        <v>66</v>
      </c>
    </row>
    <row r="161" spans="1:4" x14ac:dyDescent="0.35">
      <c r="A161">
        <v>100104378</v>
      </c>
      <c r="B161" t="s">
        <v>196</v>
      </c>
      <c r="C161" t="s">
        <v>46</v>
      </c>
      <c r="D161" t="s">
        <v>19</v>
      </c>
    </row>
    <row r="162" spans="1:4" x14ac:dyDescent="0.35">
      <c r="A162">
        <v>100098304</v>
      </c>
      <c r="B162" t="s">
        <v>197</v>
      </c>
      <c r="C162" t="s">
        <v>16</v>
      </c>
      <c r="D162" t="s">
        <v>23</v>
      </c>
    </row>
    <row r="163" spans="1:4" x14ac:dyDescent="0.35">
      <c r="A163">
        <v>100143259</v>
      </c>
      <c r="B163" t="s">
        <v>198</v>
      </c>
      <c r="C163" t="s">
        <v>46</v>
      </c>
      <c r="D163" t="s">
        <v>19</v>
      </c>
    </row>
    <row r="164" spans="1:4" x14ac:dyDescent="0.35">
      <c r="A164">
        <v>100110770</v>
      </c>
      <c r="B164" t="s">
        <v>199</v>
      </c>
      <c r="C164" t="s">
        <v>35</v>
      </c>
      <c r="D164" t="s">
        <v>19</v>
      </c>
    </row>
    <row r="165" spans="1:4" x14ac:dyDescent="0.35">
      <c r="A165">
        <v>100102429</v>
      </c>
      <c r="B165" t="s">
        <v>200</v>
      </c>
      <c r="C165" t="s">
        <v>35</v>
      </c>
      <c r="D165" t="s">
        <v>19</v>
      </c>
    </row>
    <row r="166" spans="1:4" x14ac:dyDescent="0.35">
      <c r="A166">
        <v>100109398</v>
      </c>
      <c r="B166" t="s">
        <v>201</v>
      </c>
      <c r="C166" t="s">
        <v>16</v>
      </c>
      <c r="D166" t="s">
        <v>19</v>
      </c>
    </row>
    <row r="167" spans="1:4" x14ac:dyDescent="0.35">
      <c r="A167">
        <v>100099487</v>
      </c>
      <c r="B167" t="s">
        <v>202</v>
      </c>
      <c r="C167" t="s">
        <v>16</v>
      </c>
      <c r="D167" t="s">
        <v>19</v>
      </c>
    </row>
    <row r="168" spans="1:4" x14ac:dyDescent="0.35">
      <c r="A168">
        <v>100149377</v>
      </c>
      <c r="B168" t="s">
        <v>203</v>
      </c>
      <c r="C168" t="s">
        <v>30</v>
      </c>
      <c r="D168" t="s">
        <v>23</v>
      </c>
    </row>
    <row r="169" spans="1:4" x14ac:dyDescent="0.35">
      <c r="A169">
        <v>100098403</v>
      </c>
      <c r="B169" t="s">
        <v>204</v>
      </c>
      <c r="C169" t="s">
        <v>46</v>
      </c>
      <c r="D169" t="s">
        <v>33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Resources</vt:lpstr>
      <vt:lpstr>CTC_Customer</vt:lpstr>
      <vt:lpstr>CTC_Director</vt:lpstr>
      <vt:lpstr>CTC_FilePath</vt:lpstr>
      <vt:lpstr>CTC_LastUpdatedBy</vt:lpstr>
      <vt:lpstr>CTC_Manager</vt:lpstr>
      <vt:lpstr>CTC_ProjectName</vt:lpstr>
      <vt:lpstr>CTC_ProjectNumber</vt:lpstr>
      <vt:lpstr>CTC_ProjectOrganization</vt:lpstr>
      <vt:lpstr>CTC_TaskName</vt:lpstr>
      <vt:lpstr>CTC_TaskNumber</vt:lpstr>
      <vt:lpstr>CTCStartDate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Hempsall, Christopher</dc:creator>
  <cp:lastModifiedBy>Hempsall, Christopher</cp:lastModifiedBy>
  <dcterms:created xsi:type="dcterms:W3CDTF">2015-06-05T18:17:20Z</dcterms:created>
  <dcterms:modified xsi:type="dcterms:W3CDTF">2026-04-22T16:14:45Z</dcterms:modified>
</cp:coreProperties>
</file>